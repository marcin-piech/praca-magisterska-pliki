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powiedzi" sheetId="1" r:id="rId5"/>
    <sheet state="visible" name="Koszta" sheetId="2" r:id="rId6"/>
    <sheet state="visible" name="Analiza wyników" sheetId="3" r:id="rId7"/>
  </sheets>
  <definedNames/>
  <calcPr/>
</workbook>
</file>

<file path=xl/sharedStrings.xml><?xml version="1.0" encoding="utf-8"?>
<sst xmlns="http://schemas.openxmlformats.org/spreadsheetml/2006/main" count="320" uniqueCount="189">
  <si>
    <t>Kategoria</t>
  </si>
  <si>
    <t>Index</t>
  </si>
  <si>
    <t>Pytanie</t>
  </si>
  <si>
    <t>gpt-pdf-openai</t>
  </si>
  <si>
    <t>gpt-pdf-cohere</t>
  </si>
  <si>
    <t>gpt-scraped-openai</t>
  </si>
  <si>
    <t>gpt-scraped-cohere</t>
  </si>
  <si>
    <t>deepseek-pdf-openai</t>
  </si>
  <si>
    <t>deepseek-pdf-cohere</t>
  </si>
  <si>
    <t>deepseek-scraped-openai</t>
  </si>
  <si>
    <t>deepseek-scraped-cohere</t>
  </si>
  <si>
    <t>gemini-pdf-openai</t>
  </si>
  <si>
    <t>gemini-pdf-cohere</t>
  </si>
  <si>
    <t>gemini-scraped-openai</t>
  </si>
  <si>
    <t>gemini-scraped-cohere</t>
  </si>
  <si>
    <t>claude-pdf-openai</t>
  </si>
  <si>
    <t>claude-pdf-cohere</t>
  </si>
  <si>
    <t>claude-scraped-openai</t>
  </si>
  <si>
    <t>claude-scraped-cohere</t>
  </si>
  <si>
    <t>grok-pdf-openai</t>
  </si>
  <si>
    <t>grok-pdf-cohere</t>
  </si>
  <si>
    <t>grok-scraped-openai</t>
  </si>
  <si>
    <t>grok-scraped-cohere</t>
  </si>
  <si>
    <t>Information Integration</t>
  </si>
  <si>
    <t>Jaki produkt firmy OpenAI jest powszechnie uważany za pierwszy współczesny model LLM i ile miał on parametrów?</t>
  </si>
  <si>
    <t>Za pierwszy współczesny model LLM powszechnie uznaje się GPT-1 firmy OpenAI; miał on nieco ponad 100 milionów parametrów.</t>
  </si>
  <si>
    <t>Według artykułu za pierwszy współczesny model LLM uważa się GPT‑1 firmy OpenAI; miał nieco ponad 100 milionów parametrów.</t>
  </si>
  <si>
    <t>Za pierwszy współczesny model LLM powszechnie uważa się GPT‑1 firmy OpenAI; dokument podaje, że miał nieco ponad 100 milionów parametrów.</t>
  </si>
  <si>
    <t>Za pierwszy współczesny model LLM powszechnie uważa się GPT‑1 firmy OpenAI. Miał on nieco ponad 100 milionów parametrów.</t>
  </si>
  <si>
    <t>Zgodnie z artykułem, produktem firmy OpenAI powszechnie uważanym za pierwszy współczesny model LLM jest GPT-1. Model ten posiadał nieco ponad 100 milionów parametrów.
Należy jednak zauważyć, że w dokumencie występuje błąd dotyczący daty - widnieje tam data "29.03.2026", która jest ewidentnie błędna (jest to data przyszła). Prawdopodobnie artykuł pochodzi z 2023 lub 2024 roku.</t>
  </si>
  <si>
    <t>Na podstawie dokumentu mogę odpowiedzieć, że produktem firmy OpenAI powszechnie uważanym za pierwszy współczesny model LLM jest **GPT-1**. 
Według artykułu, model GPT-1 miał **nieco ponad 100 milionów parametrów**. Dokument wskazuje, że OpenAI zastosował architekturę transformera do zbudowania tego modelu, który przez wielu jest uznawany za pierwszy współczesny model językowy.</t>
  </si>
  <si>
    <t>Na podstawie artykułu, produktem firmy OpenAI powszechnie uważanym za pierwszy współczesny model LLM jest GPT-1. Model ten miał nieco ponad 100 milionów parametrów.</t>
  </si>
  <si>
    <t>Na podstawie artykułu Oracle, modelem OpenAI powszechnie uważanym za pierwszy współczesny model LLM jest GPT-1. Według dokumentu, ten model miał nieco ponad 100 milionów parametrów.
Warto zaznaczyć, że w dokumencie pojawia się informacja o dacie 2017 roku w kontekście powstania współczesnej koncepcji modelu LLM - choć artykuł Google opisujący architekturę transformer rzeczywiście ukazał się w 2017 roku, to sama koncepcja powstała wcześniej.</t>
  </si>
  <si>
    <t>Za pierwszy współczesny model LLM powszechnie uważa się model **GPT-1**, opracowany przez firmę OpenAI przy wykorzystaniu architektury transformer.
Niestety, udostępniony artykuł nie zawiera informacji na temat dokładnej liczby parametrów tego konkretnego modelu. Dokument wspomina jedynie o nowszych wersjach, takich jak GPT-3.5 czy GPT-4o, oraz ogólnie definiuje pojęcie „dużego” modelu w kontekście liczby parametrów.</t>
  </si>
  <si>
    <t>Za pierwszy współczesny model LLM powszechnie uważa się model GPT-1 stworzony przez firmę OpenAI. Według artykułu model ten posiadał nieco ponad 100 milionów parametrów.</t>
  </si>
  <si>
    <t>Za pierwszy współczesny model LLM powszechnie uważa się model GPT-1, który został zbudowany przez firmę OpenAI z wykorzystaniem architektury transformerów. Według artykułu model ten posiadał nieco ponad 100 milionów parametrów.</t>
  </si>
  <si>
    <t>Za pierwszy współczesny model LLM powszechnie uważa się model GPT-1, który został zbudowany przez firmę OpenAI z wykorzystaniem architektury transformerów. Posiadał on nieco ponad 100 milionów parametrów.</t>
  </si>
  <si>
    <t>Zgodnie z artykułem Oracle, **model GPT-1** firmy OpenAI jest powszechnie uważany za pierwszy współczesny model LLM. Model ten miał **nieco ponad 100 milionów parametrów**. Dla porównania, jego nowszy następca GPT-4 ma prawdopodobnie ponad 1,75 biliona parametrów, choć OpenAI nie ujawniła dokładnej liczby.</t>
  </si>
  <si>
    <t>Zgodnie z artykułem Oracle, produkt firmy OpenAI — **GPT-1** — jest powszechnie uważany za pierwszy współczesny model LLM. Model ten miał **nieco ponad 100 milionów parametrów**. Na przestrzeni czasu modele OpenAI znacznie się rozrosły — jego najnowszy następca GPT-4 ma prawdopodobnie ponad 1,75 biliona parametrów, choć firma nie ujawniła dokładnej liczby.</t>
  </si>
  <si>
    <t>Na podstawie artykułu artykułu firmy Oracle mogę udzielić Ci odpowiedzi:
Produktem firmy OpenAI powszechnie uważanym za pierwszy współczesny model LLM jest **GPT-1**. Model ten miał **nieco ponad 100 milionów parametrów**. Architektura ta opierała się na przełomowym rozwiązaniu transformera opublikowanym przez Google w 2017 roku, które umożliwiało znacznie wydajniejsze przetwarzanie równoległe.</t>
  </si>
  <si>
    <t>Na podstawie artykułu, **GPT-1** firmy OpenAI jest powszechnie uważany za pierwszy współczesny model LLM. Model ten **miał nieco ponad 100 milionów parametrów**.
GPT-1 powstał dzięki zastosowaniu architekektury transformera, którą Google opisał w przełomowym artykule z 2017 roku. Architektura ta umożliwiła znacznie szybsze i tańsze trenowanie oraz wdrażanie modeli poprzez zastosowanie mechanizmu samouwagi.</t>
  </si>
  <si>
    <t>Firma OpenAI powszechnie uważana jest za twórcę pierwszego współczesnego modelu LLM, którym jest GPT-1. Model ten miał nieco ponad 100 milionów parametrów.</t>
  </si>
  <si>
    <t>Według artykułu Oracle, model GPT-1 firmy OpenAI jest powszechnie uważany za pierwszy współczesny model LLM. Miał on nieco ponad 100 milionów parametrów.</t>
  </si>
  <si>
    <t>Który model stworzony przez OpenAI uznaje się za pionierski w kategorii współczesnych LLM i jaka była skala jego parametrów?</t>
  </si>
  <si>
    <t>Według artykułu za pionierski współczesny model LLM uważa się GPT‑1 stworzony przez OpenAI; miał on nieco ponad 100 milionów parametrów.</t>
  </si>
  <si>
    <t>Za pionierski współczesny model LLM dokument wymienia GPT‑1 firmy OpenAI. Miał on skalę rzędu nieco ponad 100 milionów parametrów.</t>
  </si>
  <si>
    <t>Za pionierski współczesny model LLM stawiany jest GPT‑1 opracowany przez OpenAI; jego skala to nieco ponad 100 milionów parametrów.</t>
  </si>
  <si>
    <t>Za pionierski współczesny model LLM uznaje się GPT‑1 firmy OpenAI; jego skala wynosiła nieco ponad 100 milionów parametrów.</t>
  </si>
  <si>
    <t>Na podstawie artykułu Oracle, pionierskim modelem stworzonym przez OpenAI w kategorii współczesnych dużych modeli językowych jest GPT-1. Według dokumentu, model ten miał nieco ponad 100 milionów parametrów i jest przez wielu uważany za pierwszy współczesny model LLM. 
Warto zauważyć, że w artykule pojawia się data 2026 roku, która jest błędna - dokument został prawdopodobnie stworzony wcześniej, a obecnie mamy rok 2024.</t>
  </si>
  <si>
    <t>Zgodnie z informacjami zawartymi w artykule firmy Oracle, model GPT-1 stworzony przez OpenAI jest uważany za pierwszy współczesny model LLM (duży model językowy). Według dokumentu, GPT-1 miał nieco ponad 100 milionów parametrów.
Warto zauważyć, że artykuł zawiera błędną datę - podaje rok 2002 jako datę publikacji przełomowego artykułu o architekturze transformera przez Google, podczas gdy w rzeczywistości artykuł ten został opublikowany w 2017 roku.</t>
  </si>
  <si>
    <t>Na podstawie artykułu firmy Oracle, modelem OpenAI uznawanym za pionierski w kategorii współczesnych dużych modeli językowych (LLM) jest GPT-1. Firma OpenAI zastosowała architekturę transformer do zbudowania tego modelu, który przez wielu uważany jest za pierwszy współczesny model LLM. Jeśli chodzi o skalę parametrów, model GPT-1 miał nieco ponad 100 milionów parametrów.</t>
  </si>
  <si>
    <t>Według artykułu, modelem OpenAI uznawanym za pierwszy współczesny duży model językowy jest GPT-1, który miał nieco ponad 100 milionów parametrów. 
Warto jednak zauważyć, że w dokumencie występuje błąd dotyczący daty - architektura transformera została zaproponowana przez naukowców z Google w 2017 roku, a nie w 2002 roku jak podano w artykule.</t>
  </si>
  <si>
    <t>Niestety, nie umiem odpowiedzieć na to pytanie na podstawie dostępnego artykułu. Dokument wspomina o OpenAI jako o jednym z komercyjnych dostawców modeli, jednak nie precyzuje, który konkretny model tej firmy uznaje się za pionierski, ani nie podaje liczby jego parametrów.</t>
  </si>
  <si>
    <t>Za pierwszy współczesny model LLM uznaje się GPT-1, który został stworzony przez firmę OpenAI przy użyciu architektury transformera. Skala tego modelu wynosiła nieco ponad 100 milionów parametrów.
Warto zauważyć, że w dokumencie pojawia się błąd dotyczący daty publikacji artykułu naukowców z Google o architekturze transformera (podano rok 2002). Według powszechnej wiedzy merytorycznej, przełomowa publikacja „Attention Is All You Need” miała miejsce w 2017 roku.</t>
  </si>
  <si>
    <t>Za pierwszy współczesny model typu LLM uznaje się **GPT-1**, stworzony przez firmę OpenAI na bazie architektury transformera. Skala tego modelu wynosiła nieco ponad **100 milionów parametrów**.
Warto zauważyć, że w udostępnionym artykule pojawia się błędna data – wskazano w nim, że architekturę transformera zaproponowano w 2002 roku. W rzeczywistości przełomowy artykuł naukowców z Google, opisujący tę technologię, został opublikowany w **2017 roku**._</t>
  </si>
  <si>
    <t>Pionierskim modelem OpenAI, uznawanym za pierwszy współczesny LLM, był GPT-1. Został on zbudowany w oparciu o architekturę transformerów i posiadał nieco ponad 100 milionów parametrów.</t>
  </si>
  <si>
    <t>Acordo to artykułu Oracle, **GPT-1** to model stworzony przez OpenAI, który wielu uznaje za pierwszy współczesny model LLM. Jednak dokument nie zawiera szczegółowych informacji na temat liczby parametrów modelu GPT-1. 
W artykule wspomina się natomiast o innych modelach OpenAI, takich jak GPT-3.5 i GPT-4, ale konkretne liczby parametrów dla któregokolwiek z tych modeli również nie są podane. Aby uzyskać dokładne dane na temat skali parametrów GPT-1 lub innych modeli, byłoby potrzebne inne źródło.</t>
  </si>
  <si>
    <t>Na podstawie artykułu Oracle, **model GPT-1** firmy OpenAI uważany jest za pierwszy współczesny duży model językowy. Posiadał on **nieco ponad 100 milionów parametrów**. 
Model GPT-1 był pionierski, ponieważ zastosował architekturę transformera, który umożliwiał skuteczne i efektywne trenowanie poprzez mechanizm samouwagi i przetwarzanie równoległe. To była przełomowa konstrukcja, która zapoczątkowała obecną falę zainteresowania modelami LLM i sztuczną inteligencją generatywną.</t>
  </si>
  <si>
    <t>Niestety, dokument nie zawiera informacji na temat liczby parametrów modelu GPT-1. 
Jednak zgodnie z artykułem, **model GPT-1 stworzony przez OpenAI** uznawany jest za pierwszy współczesny model LLM. OpenAI zastosowała architekturę transformera (opisaną w przełomowym artykule Google z 2017 roku) do jego budowy. Model ten przez wielu badaczy uważany jest za pionierski w kategorii współczesnych dużych modeli językowych, ponieważ wykazał potencjał tego podejścia do przetwarzania języka naturalnego.
Jeśli interesują Cię konkretne dane dotyczące liczby parametrów GPT-1, jest to informacja spoza zakresu dostępnego artykułu.</t>
  </si>
  <si>
    <t>Na podstawie artykułu dokumentu, **GPT-1** to model stworzony przez OpenAI, który wielu badaczy uważa za pierwszy współczesny duży model językowy. Model ten miał **nieco ponad 100 milionów parametrów**. OpenAI zastosowała do jego budowy przełomową architekturę transformera opracowaną przez Google w 2017 roku, która umożliwiła znacznie szybsze i tańsze trenowanie oraz wdrażanie modeli LLM dzięki mechanizmowi samouwagi.</t>
  </si>
  <si>
    <t>Firma OpenAI stworzyła model GPT-1, który jest uważany za pierwszy współczesny model LLM, oparty na architekturze transformerów. Artykuł nie podaje dokładnej skali parametrów tego modelu.</t>
  </si>
  <si>
    <t>Według artykułu, model GPT-1 stworzony przez OpenAI uznawany jest za pierwszy współczesny model LLM. Miał on nieco ponad 100 milionów parametrów.</t>
  </si>
  <si>
    <t>Model GPT-1 stworzony przez OpenAI uznaje się za pionierski i pierwszy współczesny model LLM, oparty na architekturze transformera. Miał on nieco ponad 100 milionów parametrów.</t>
  </si>
  <si>
    <t>Model GPT-1 stworzony przez OpenAI uznawany jest za pierwszy współczesny model LLM, oparty na architekturze transformera. Miał nieco ponad 100 milionów parametrów.</t>
  </si>
  <si>
    <t>Noise Robustness</t>
  </si>
  <si>
    <t>Jak automatyzacja z użyciem LLM wpływa na produktywność w komunikacji z klientami?</t>
  </si>
  <si>
    <t>Z dokumentu wynika, że LLM znacząco podnosi produktywność w komunikacji z klientami: skracają czas oczekiwania i odciążają personel przez całodobowe, wielojęzyczne czatboty oraz automatyzację zadań follow‑up (wysyłka części, dokumentów, ankiet).  
Ponadto modele wspomagają agentów (szybkie wyszukiwanie, podsumowania, analiza nastrojów, tłumaczenia), co poprawia jakość obsługi i obniża koszty operacyjne — w przytoczonym przykładzie odnotowano istotny wzrost poziomu usług i spadek kosztów (np. +150% i −30%).</t>
  </si>
  <si>
    <t>Automatyzacja z użyciem LLM podnosi produktywność, automatyzując powtarzalne zadania i obsługując niemal nieograniczoną liczbę zapytań 24/7, co skraca czas oczekiwania i odciąża personel. Modele te realizują działania follow‑up (wysyłka części/dokumentów/ankiet), analizują nastroje klientów, tłumaczą, podsumowują interakcje i dostarczają pracownikom aktualnych informacji, poprawiając jakość obsługi. W artykule podano, że takie zastosowania mogą znacząco zwiększyć poziom usług (przykładowo o 150%) i obniżyć koszty operacyjne (około 30%).</t>
  </si>
  <si>
    <t>Na podstawie artykułu: automatyzacja z użyciem LLM poprawia produktywność w komunikacji z klientami poprzez skalowalną obsługę (czatboty) działającą 24/7, skracanie czasu oczekiwania oraz generowanie spersonalizowanych wiadomości i tłumaczeń. Dodatkowo LLM automatyzują zadania follow‑up (wysyłka dokumentów, części, ankiet), dostarczają agentom podsumowań, analiz i gotowych wersji tekstów, co pozwala pracownikom skupić się na bardziej złożonych i kreatywnych zadaniach.</t>
  </si>
  <si>
    <t>Automatyzacja oparta na LLM zwiększa produktywność, przejmując powtarzalne i częściowo złożone zadania, dzięki czemu pracownicy mogą skupić się na bardziej kreatywnych i krytycznych działaniach. W komunikacji z klientami LLM napędzają dostępne 24/7 czatboty, skracają czas oczekiwania, generują spersonalizowane e‑maile/SMS/wpisy w mediach społecznościowych, tłumaczą zapytania oraz podsumowują transkrypcje i dostarczają agentom aktualnych informacji i analiz. Ponadto integracja z innymi aplikacjami pozwala automatyzować działania następcze (wysyłka części, dokumentów, ankiet), co zwiększa skalowalność i responsywność obsługi.</t>
  </si>
  <si>
    <t>Zgodnie z artykułem Oracle, automatyzacja z użyciem LLM znacząco zwiększa produktywność w komunikacji z klientami poprzez skrócenie czasu oczekiwania na odpowiedź, automatyzację powtarzalnych zadań oraz całodobową obsługę za pomocą czatbotów. Modele LLM pozwalają pracownikom skupić się na bardziej zaawansowanych zadaniach, zapewniając jednocześnie wsparcie w postaci aktualnych informacji, analiz i tłumaczeń.</t>
  </si>
  <si>
    <t>Zgodnie z informacjami z artykułu Oracle, automatyzacja z użyciem LLM znacząco wpływa na produktywność w komunikacji z klientami. Modele LLM okazują się niezwykle efektywne w automatyzacji powtarzalnych zadań, w tym zadań wymagających podejmowania decyzji. Czatboty oparte na modelach językowych mogą obsługiwać niemal nieograniczoną liczbę zapytań o każdej porze dnia i nocy, co pozwala znacząco skrócić długi czas oczekiwania na odpowiedź wynikający z przeciążenia personelu telecentrów.
Integracja czatbotów z innymi aplikacjami opartymi na technologii LLM pozwala dodatkowo zautomatyzować zadania kontynuacji obsługi zgłoszenia, takie jak wysyłanie części zamiennych, dokumentów czy ankiet. Modele LLM mogą również bezpośrednio wspomagać pracowników, dostarczając im aktualne informacje, analizy opinii, tłumaczenia i podsumowania interakcji z klientami.</t>
  </si>
  <si>
    <t>Na podstawie artykułu Oracle, automatyzacja z użyciem LLM pozytywnie wpływa na produktywność w komunikacji z klientami na kilka sposobów. Modele LLM umożliwiają automatyzację powtarzalnych zadań, co pozwala pracownikom skupić się na bardziej zaawansowanych zadaniach wymagających kreatywnego i krytycznego myślenia. 
W szczególności czatboty oparte na LLM mogą obsługiwać niemal nieograniczoną liczbę zapytań o każdej porze, co znacząco skraca czas oczekiwania klientów i redukuje frustrację wynikającą z przeciążenia personelu. Modele LLM wspomagają również agentów w działach sprzedaży i obsługi klienta, dostarczając im gotowych informacji, podsumowując interakcje i dokumentując kontakty z klientami.</t>
  </si>
  <si>
    <t>Automatyzacja z użyciem LLM znacząco wpływa na produktywność w komunikacji z klientami poprzez automatyzację powtarzalnych zadań. Czatboty oparte na modelach językowych mogą obsługiwać niemal nieograniczoną liczbę zapytań o każdej porze, co skraca czas oczekiwania klientów i redukuje frustrację wynikającą z przeciążenia personelu. Modele LLM doskonalą interakcje również poprzez generowanie spersonalizowanych wiadomości, tłumaczenie zapytań w językach obcych oraz automatyczne podsumowywanie transkrypcji, co pomaga szybciej rozwiązywać problemy klientów. Taka automatyzacja pozwala pracownikom skupić się na bardziej zaawansowanych zadaniach wymagających kreatywnego myślenia.</t>
  </si>
  <si>
    <t>Automatyzacja z użyciem LLM znacząco podnosi produktywność, umożliwiając całodobową obsługę niemal nieograniczonej liczby zapytań, co skraca czas oczekiwania i odciąża personel. Według artykułu, wdrożenie tych rozwiązań może prowadzić do wzrostu poziomu świadczonych usług nawet o 150% przy jednoczesnym spadku kosztów operacyjnych o 30%.
Dodatkowo modele te automatyzują powtarzalne zadania, takie jak wysyłka dokumentów czy części zamiennych, oraz wspierają pracowników poprzez dostarczanie analiz opinii i podsumowań interakcji. Dzięki temu procesy komunikacyjne stają się bardziej efektywne i wielojęzyczne.</t>
  </si>
  <si>
    <t>Automatyzacja z użyciem LLM znacząco podnosi produktywność poprzez obsługę dużej liczby zapytań w trybie 24/7, co skraca czas oczekiwania i odciąża personel. Modele te automatyzują powtarzalne zadania, takie jak wysyłanie dokumentów, tłumaczenie zapytań czy tworzenie wersji roboczych wiadomości.
Dodatkowo LLM wspierają pracowników, dostarczając im gotowe analizy opinii, streszczenia poprzednich interakcji oraz niezbędną dokumentację. Pozwala to na szybsze i bardziej precyzyjne rozwiązywanie problemów klientów przy jednoczesnym usprawnieniu procesów dokumentowania rozmów.</t>
  </si>
  <si>
    <t>Automatyzacja z użyciem LLM znacząco podnosi produktywność poprzez przejęcie powtarzalnych zadań, co pozwala pracownikom skupić się na bardziej złożonych i kreatywnych wyzwaniach. Modele te mogą obsługiwać niemal nieograniczoną liczbę zapytań jednocześnie o dowolnej porze, co skraca czas oczekiwania klientów i odciąża personel telecentrów.
Dodatkowo LLM wspomagają zespoły poprzez automatyczne generowanie spersonalizowanych wiadomości, tłumaczenie zapytań obcojęzycznych oraz przygotowywanie podsumowań interakcji. Dzięki integracji z systemami firmy mogą również automatyzować zadania następcze, takie jak wysyłka dokumentów czy ankiet po zakończonym zgłoszeniu.</t>
  </si>
  <si>
    <t>Automatyzacja z użyciem LLM znacząco podnosi produktywność poprzez przejęcie powtarzalnych zadań i obsługę dużej liczby zapytań w czasie rzeczywistym, co skraca czas oczekiwania klientów. Dzięki czatbotom i automatycznemu generowaniu wiadomości, personel może skupić się na bardziej złożonych i kreatywnych wyzwaniach.
Dodatkowo modele te wspierają pracowników, oferując błyskawiczne tłumaczenia, podsumowania interakcji oraz analizy opinii, co przyspiesza rozwiązywanie problemów technicznych i sprzedażowych. Wykorzystanie LLM pozwala również na automatyzację procesów następczych, takich jak wysyłka dokumentów czy ankiet po zakończeniu zgłoszenia.</t>
  </si>
  <si>
    <t>Według artykułu Oracle, automatyzacja z użyciem LLM wpływa na produktywność w komunikacji z klientami na kilka sposobów:
**Skrócenie czasu obsługi i redukcja frustracji**: Czatboty oparte na modelach LLM mogą obsługiwać nieograniczoną liczbę zapytań klientów o każdej porze dnia i nocy, co znacząco skraca długie czasy oczekiwania na odpowiedź — główne źródło frustracji klientów.
**Automatyzacja i wsparcie personelu**: Integracja czatbotów z innymi aplikacjami opartymi na LLM pozwala automatyzować zadania kontynuacji obsługi (wysyłanie części zamiennych, dokumentów, ankiet). Modele mogą również wspierać pracowników, dostarczając im aktualne informacje, analizy opinii, tłumaczenia i podsumowania interakcji. Przykład z praktyki pokazuje wzrost poziomu usług o 150% i spadek kosztów operacyjnych o 30%, wraz z dostępnością obsługi 24/7 w wielu językach.
**Wielofunkcyjność**: LLM mogą generować wiadomości e-mail, SMS-y i wpisy w mediach społecznych odpowiadające na pytania klientów, a także tłumaczyć zapytania w obcych językach.</t>
  </si>
  <si>
    <t>Na podstawie artykułu Oracle, automatyzacja z użyciem LLM ma znaczący wpływ na produktywność w komunikacji z klientami:
**Skrócenie czasu oczekiwania i zmniejszenie kosztów**: Czatboty oparte na modelach LLM mogą obsługiwać niemal nieograniczoną liczbę zapytań o każdej porze dnia i nocy, znacząco skracając długie czasy oczekiwania wynikające z przeciążenia personelu. Jeden z przykładów pokazuje wzrost poziomu usług o 150% oraz spadek kosztów operacyjnych o 30%.
**Automatyzacja i wspomaganie pracowników**: Modele LLM automatyzują powtarzalne zadania oraz bezpośrednio wspierają pracowników, dostarczając im aktualnych informacji, analiz opinii, tłumaczeń i podsumowań interakcji. Integracja czatbotów z innymi aplikacjami opartymi na LLM umożliwia automatyzację zadań takich jak wysyłanie części zamiennych, dokumentów czy ankiet.
**Lepsze interakcje z klientami**: Przedsiębiorstwa wykorzystują LLM do generowania personalizowanych wiadomości e-mail, SMS-ów i wpisów w mediach społecznościowych, a także do tłumaczenia zapytań w obcych językach, co zwiększa dostępność i jakość obsługi.</t>
  </si>
  <si>
    <t>Na podstawie artykułu, automatyzacja z użyciem LLM znacząco wpływa na produktywność w komunikacji z klientami na kilka sposobów:
**Zwiększenie dostępności i szybkości obsługi** — Czatboty oparte na modelach LLM mogą obsługiwać niemal nieograniczoną liczbę zapytań przez całą dobę, co znacznie skraca długi czas oczekiwania na odpowiedź i zmniejsza frustrację klientów spowodowaną przeciążeniem personelu.
**Rozszerzenie zakresu komunikacji** — LLM umożliwia automatyczne generowanie spersonalizowanych wiadomości e-mail, SMS-ów i wpisów w mediach społecznościowych, tłumaczenie zapytań w obcych językach, a także wspieranie pracowników poprzez analizy opinii i podsumowania interakcji.
**Uwolnienie personelu do bardziej skomplikowanych zadań** — Automatyzacja powtarzalnych zadań pozwala pracownikom skupić się na bardziej zaawansowanych wyzwaniach wymagających kreatywnego i krytycznego myślenia, co ogólnie podnosi produktywność organizacji.
Krótko mówiąc, LLM umożliwia przedsiębiorstwom lepsą obsługę klientów przy jednoczesnym obniżeniu kosztów operacyjnych.</t>
  </si>
  <si>
    <t>Na podstawie artykułu, automatyzacja z użyciem LLM znacząco wpływa na produktywność w komunikacji z klientami na kilka sposobów:
**Zmniejszenie czasu oczekiwania**: Czatboty oparte na modelach LLM mogą obsługiwać niemal nieograniczoną liczbę zapytań klientów 24/7, co znacznie skraca długie czasy oczekiwania — główne źródło frustracji klientów.
**Rozszerzenie zakresu wsparcia**: LLM-y wspierają komunikację poprzez różne kanały (e-mail, SMS, media społecznościowe) i mogą tłumaczyć zapytania w obcych językach. Pozwalają także na automatyczne podsumowywanie transkrypcji rozmów, co pomaga pracownikom szybciej rozwiązywać problemy klientów.
**Zwiększenie produktywności pracowników**: Automatyzacja powtarzalnych zadań pozwala pracownikom skupić się na bardziej zaawansowanych, wymagających kreatywnego i krytycznego myślenia zadaniach. LLM mogą także wspierać agentów poprzez dostarczanie aktualnych informacji, analiz opinii czy podsumowań interakcji.</t>
  </si>
  <si>
    <t>Automatyzacja z użyciem LLM w komunikacji z klientami, głównie poprzez czatboty, umożliwia obsługę zapytań 24/7, skraca czas oczekiwania na odpowiedzi i redukuje frustrację klientów, co znacząco podnosi produktywność. Modele te automatyzują generowanie wiadomości e-mail, SMS-ów czy analizę nastrojów w ankietach, wspomagają agentów tłumaczeniami i podsumowaniami, prowadząc np. do wzrostu poziomu usług o 150% i spadku kosztów operacyjnych o 30%.</t>
  </si>
  <si>
    <t>Automatyzacja z użyciem LLM znacząco zwiększa produktywność w komunikacji z klientami, umożliwiając czatbotom obsługę nieograniczonej liczby zapytań 24/7, co skraca czas oczekiwania i redukuje frustrację klientów. Modele te automatyzują generowanie spersonalizowanych wiadomości e-mail, SMS-ów czy postów w mediach społecznościowych, tłumaczą zapytania w obcych językach oraz wspierają agentów analizami nastrojów, podsumowaniami interakcji i automatyzacją zadań jak wysyłanie dokumentów. Dzięki temu pracownicy mogą skupić się na bardziej złożonych sprawach, podnosząc ogólną efektywność obsługi.</t>
  </si>
  <si>
    <t>Automatyzacja z użyciem LLM w komunikacji z klientami znacząco zwiększa produktywność dzięki czatbotom, które obsługują zapytania 24/7, skracając czas oczekiwania i redukując frustrację klientów. Modele te generują spersonalizowane wiadomości e-mail, SMS-y czy posty w mediach społecznościowych, tłumaczą zapytania w obcych językach oraz automatyzują zadania follow-up, takie jak wysyłanie dokumentów czy części zamiennych. Pracownicy mogą wtedy skupić się na bardziej złożonych, kreatywnych zadaniach, co podnosi ogólną efektywność.</t>
  </si>
  <si>
    <t>Automatyzacja z użyciem LLM w komunikacji z klientami znacząco zwiększa produktywność, umożliwiając czatbotom obsługę nieograniczonej liczby zapytań 24/7, co skraca czas oczekiwania i redukuje obciążenie personelu. Modele te generują spersonalizowane wiadomości e-mail, SMS-y czy posty w mediach społecznościowych, tłumaczą zapytania w obcych językach oraz automatyzują zadania jak wysyłanie dokumentów czy podsumowywanie interakcji, pozwalając pracownikom skupić się na bardziej kreatywnych i złożonych czynnościach.</t>
  </si>
  <si>
    <t>W jaki sposób wykorzystanie modeli językowych do automatyzacji przekłada się na efektywność obsługi klienta?</t>
  </si>
  <si>
    <t>Według artykułu LLM są wykorzystywane do automatyzacji obsługi klienta poprzez czatboty i asystentów, które obsługują nieograniczoną liczbę zapytań 24/7, wspierają agentów (np. podpowiedzi, tłumaczenia), generują i podsumowują treści oraz — przy użyciu wyszukiwania — uwzględniają aktualne, zastrzeżone dane biznesowe w celu poprawy trafności odpowiedzi. W efekcie firmy uzyskują szybsze rozwiązywanie problemów, wyższą produktywność i lepsze interakcje z klientami; w dokumencie podano też przykład wzrostu poziomu usług o 150% i spadku kosztów operacyjnych o 30%.</t>
  </si>
  <si>
    <t>Modele LLM zwiększają efektywność obsługi klienta przez automatyzację powtarzalnych zadań i skrócenie czasu oczekiwania — działają jako czatboty generujące dopasowane wiadomości (e‑mail, SMS, wpisy w social media), odpowiadają na pytania produktowe, techniczne i sprzedażowe oraz tłumaczą zapytania w innych językach. Dzięki integracji z innymi aplikacjami LLM mogą automatyzować działania następcze (wysyłka części, dokumentów, ankiet), wspierać agentów dostarczając aktualne informacje, podsumowania i analizy nastrojów oraz wykorzystywać dane organizacji, by zwiększyć trafność odpowiedzi.</t>
  </si>
  <si>
    <t>Modele LLM zwiększają efektywność obsługi klienta głównie przez automatyzację rutynowych interakcji — czatboty oparte na LLM działają 24/7 i obsługują wiele zapytań równocześnie, co skraca czasy oczekiwania i odciąża personel. Ponadto LLM potrafią generować spersonalizowane wiadomości, tłumaczyć zapytania, automatycznie podsumowywać transkrypcje i wspierać agentów (lub działać jako „agenty” kierujące przepływami pracy), co przyspiesza rozwiązywanie problemów i poprawia jakość kontaktu z klientem.</t>
  </si>
  <si>
    <t>Wykorzystanie modeli LLM zwiększa efektywność obsługi klienta poprzez automatyzację konwersacyjnej asysty (czatboty działające 24/7), co pozwala obsłużyć niemal nieograniczoną liczbę zapytań i znacząco skrócić czas oczekiwania oraz zmniejszyć frustrację klientów. Dodatkowo modele generują spersonalizowane wiadomości, tłumaczenia, podsumowania transkrypcji i analizy nastrojów oraz wspomagają agentów (np. dostarczając aktualne informacje i automatyzując zadania follow‑up), co podnosi produktywność zespołów i przyspiesza rozwiązywanie spraw.</t>
  </si>
  <si>
    <t>Wykorzystanie modeli językowych (LLM) do automatyzacji obsługi klienta znacząco poprawia jej efektywność na kilka sposobów. Przede wszystkim czatboty oparte na LLM skracają czas oczekiwania na odpowiedź, eliminując frustrację klientów spowodowaną przeciążeniem personelu, oraz zapewniają całodobową obsługę w wielu językach.
Modele LLM automatyzują zadania kontynuacji obsługi zgłoszeń (jak wysyłanie dokumentów czy ankiet) i wspomagają pracowników, dostarczając im aktualne informacje, analizy opinii oraz podsumowania interakcji. Według przykładu z dokumentu, wdrożenie tej technologii pozwoliło jednej firmie osiągnąć wzrost poziomu usług o 150% i obniżyć koszty operacyjne o 30%.</t>
  </si>
  <si>
    <t>Na podstawie artykułu Oracle, wykorzystanie modeli językowych do automatyzacji przekłada się na efektywność obsługi klienta na kilka kluczowych sposobów:
Przede wszystkim modele LLM znacząco skracają czas oczekiwania na odpowiedź, co jest głównym źródłem frustracji klientów wynikającym z przeciążenia personelu telecentrów. Czatboty oparte na modelach językowych mogą obsługiwać niemal nieograniczoną liczbę zapytań o każdej porze dnia i nocy, odpowiadając na pytania dotyczące produktów, kwestii technicznych czy sprzedaży.
Ponadto integracja czatbotów z innymi aplikacjami LLM pozwala zautomatyzować zadania kontynuacji obsługi zgłoszeń, takie jak wysyłanie części zamiennych, dokumentów czy ankiet. Modele wspierają również pracowników, dostarczając im aktualne informacje, analizy opinii, tłumaczenia i podsumowania interakcji, co pomaga inżynierom szybciej rozwiązywać problemy klientów.</t>
  </si>
  <si>
    <t>Na podstawie artykułu Oracle wykorzystanie dużych modeli językowych (LLM) do automatyzacji przekłada się na efektywność obsługi klienta przede wszystkim poprzez:
1. **Skrócenie czasu oczekiwania** - czatboty oparte na LLM mogą obsługiwać niemal nieograniczoną liczbę zapytań o każdej porze, eliminując frustrację klientów wynikającą z przeciążenia personelu.
2. **Wsparcie dla agentów** - modele LLM dostarczają pracownikom gotowych informacji i dokumentacji, podsumowują poprzednie interakcje oraz pomagają w kontakcie z klientami.
3. **Automatyzację powtarzalnych zadań** - LLM automatyzują zadania wymagające podejmowania decyzji, co pozwala pracownikom skupić się na bardziej zaawansowanych zadaniach wymagających kreatywnego myślenia.
4. **Tłumaczenie i generowanie treści** - modele mogą tłumaczyć zapytania klientów w różnych językach oraz generować skierowane do klientów wiadomości e-mail, SMS-y czy wpisy w mediach społecznościowych.</t>
  </si>
  <si>
    <t>Wykorzystanie modeli językowych do automatyzacji znacząco poprawia efektywność obsługi klienta na kilka kluczowych sposobów. Przede wszystkim czatboty oparte na LLM mogą obsługiwać niemal nieograniczoną liczbę zapytań o każdej porze, co znacząco skraca czas oczekiwania i redukuje frustrację klientów wynikającą z przeciążenia personelu. Przykładowo, jedna z firm po wdrożeniu czatbota odnotowała wzrost poziomu usług o 150% przy jednoczesnym spadku kosztów operacyjnych o 30%.
Modele LLM doskonalą interakcje z klientami również poprzez generowanie spersonalizowanych wiadomości, tłumaczenie zapytań w językach obcych oraz wspomaganie agentów poprzez dostarczanie gotowych informacji i dokumentacji. Dodatkowo, automatyzacja podsumowywania transkrypcji zgłoszeń pomaga w szybszym rozwiązywaniu problemów klientów, a analiza nastrojów z ankiet pozwala na lepsze zrozumienie potrzeb klientów.</t>
  </si>
  <si>
    <t>Automatyzacja obsługi klienta za pomocą modeli językowych (LLM) znacząco skraca czas oczekiwania na odpowiedź, co eliminuje główne źródło frustracji klientów. Dzięki czatbotom dostępnym całodobowo w wielu językach, firmy mogą odnotować wzrost poziomu usług nawet o 150% przy jednoczesnym spadku kosztów operacyjnych o 30%.
Modele te zwiększają efektywność personelu, zdejmując z niego ciężar powtarzalnych zadań oraz wspierając pracowników poprzez dostarczanie analiz opinii, tłumaczeń i podsumowań interakcji. Dodatkowo integracja z innymi aplikacjami pozwala na automatyczną kontynuację zgłoszeń, np. poprzez wysyłkę dokumentów czy ankiet.</t>
  </si>
  <si>
    <t>Wykorzystanie modeli LLM do automatyzacji obsługi klienta znacząco skraca czas oczekiwania na odpowiedź, co eliminuje główne źródło frustracji konsumentów wynikające z przeciążenia personelu. Modele te umożliwiają obsługę nieograniczonej liczby zapytań przez całą dobę oraz automatyzują procesy kontynuacji zgłoszeń, takie jak wysyłka dokumentów czy części zamiennych.
Dodatkowo technologia ta wspomaga pracowników, dostarczając im gotowych analiz opinii, tłumaczeń i podsumowań interakcji. Dzięki temu przedsiębiorstwa mogą zwiększyć swoją produktywność i responsywność, utrzymując przy tym wysoką jakość dialogu z klientem.</t>
  </si>
  <si>
    <t>Wykorzystanie modeli językowych (LLM) pozwala skrócić czas oczekiwania na odpowiedź dzięki czatbotom, które obsługują dużą liczbę zapytań o każdej porze. Automatyzacja powtarzalnych zadań, takich jak wysyłanie dokumentów czy części zamiennych, odciąża personel, pozwalając im skupić się na bardziej złożonych problemach.
Dodatkowo modele te wspierają procesy komunikacji poprzez generowanie e-maili, tłumaczenie zapytań obcojęzycznych oraz dostarczanie agentom gotowych analiz i podsumowań. Przekłada się to na wyższą jakość interakcji oraz większą responsywność i produktywność działów obsługi klienta.</t>
  </si>
  <si>
    <t>Modele językowe zwiększają efektywność obsługi klienta poprzez automatyzację powtarzalnych i złożonych zadań, co pozwala pracownikom skupić się na bardziej kreatywnych wyzwaniach. Czatboty oparte na LLM mogą obsługiwać niemal nieograniczoną liczbę zapytań o każdej porze, skracając czas oczekiwania i eliminując frustrację klientów.
Automatyzacja obejmuje również dalsze etapy obsługi, takie jak wysyłka dokumentów czy części zamiennych oraz wsparcie agentów poprzez dostarczanie im analiz i podsumowań interakcji. Dzięki zdolności do prowadzenia naturalnego dialogu i tłumaczenia zapytań, modele te znacząco poprawiają jakość i responsywność komunikacji biznesowej.</t>
  </si>
  <si>
    <t>Na podstawie artykułu Oracle, automatyzacja z wykorzystaniem modeli językowych przekłada się na efektywność obsługi klienta na kilka sposobów:
**Dostępność 24/7 i redukcja czasu oczekiwania.** Czatboty oparte na modelach LLM mogą obsługiwać niemal nieograniczoną liczbę zapytań przez całą dobę, co znacznie skraca długi czas oczekiwania na odpowiedź będący głównym źródłem frustracji klientów.
**Automatyzacja procesów wsparcia.** Modele LLM mogą być zintegrowane z innymi aplikacjami biznesowymi, umożliwiając automatyzację zadań towarzyszących obsłudze zgłoszeń, takich jak wysyłanie części zamiennych, dokumentów czy ankiet. Artykuł podaje konkretny przykład: wdrożenie LLM pozwoliło zwiększyć poziom usług o 150% i zmniejszyć koszty operacyjne o 30%.
**Wsparcie dla personelu.** Modele LLM mogą również wspierać pracowników obsługi, dostarczając im aktualne informacje, analizy opinii, tłumaczenia i podsumowania interakcji, co przyspiesza rozwiązywanie problemów klientów i poprawia ogólne środowisko obsługi zgłoszeń.</t>
  </si>
  <si>
    <t>Na podstawie artykułu Oracle, automatyzacja za pomocą modeli LLM przekłada się na efektywność obsługi klienta na kilka kluczowych sposobów:
**Dostępność 24/7 bez ograniczeń:** Czatboty oparte na modelach LLM mogą obsługiwać niemal nieograniczoną liczbę zapytań o każdej porze dnia i nocy, co znacznie skraca czas oczekiwania — główne źródło frustracji klientów.
**Automatyzacja powtarzalnych zadań:** Modele LLM mogą generować skierowane do klientów wiadomości e-mail, SMS-y czy wpisy w mediach społecznych, odpowiadać na pytania techniczne i wspierać pracowników, dostarczając im aktualne informacje, analizy opinii oraz podsumowania interakcji.
**Integracja procesów:** Połączenie czatbotów z innymi aplikacjami LLM automatyzuje zadania kontynuacji obsługi zgłoszeń, takie jak wysyłanie części zamiennych czy dokumentów, co przyspiesza całą procedurę.
Całość prowadzi do wzrostu produktywności zarówno systemów automatycznych, jak i pracowników wspomaganych technologią LLM.</t>
  </si>
  <si>
    <t>Na podstawie artykułu, modele języki przekładają się na efektywność obsługi klienta na kilka kluczowych sposobów:
**Czatboty do obsługi zgłoszeń 24/7** — Konwersacyjne interfejsy oparte na modelach LLM mogą obsługiwać niemal nieograniczoną liczbę zapytań o każdej porze dnia i nocy. Znacznie to skraca długi czas oczekiwania na odpowiedź, który jest głównym źródłem frustracji klientów.
**Wspomaganie pracowników** — Modele LLM automatycznie podsumowują transkrypcje z setek zgłoszeń oraz czatów w wielu językach, co pozwala inżynierom szybciej rozwiązywać problemy klientów i doskonalić ogólne środowisko obsługi.
**Wielokanałowa komunikacja** — Przedsiębiorstwa wykorzystują te modele do generowania spersonalizowanych wiadomości e-mail, SMS-ów, wpisów w mediach społecznościowych oraz tłumaczenia zapytań klientów posługujących się językami obcymi.
**Automatyzacja procesów** — Agenci oparte na modelach LLM mogą samodzielnie podejmować decyzje i wykonywać zadania, generując powiadomienia o działaniach wymagających przeglądu człowieka, co minimalizuje interwencję i przyspieszą obsługę.</t>
  </si>
  <si>
    <t>Na podstawie artykułu Oracle, wykorzystanie modeli językowych do automatyzacji przekłada się na efektywność obsługi klienta na kilka sposobów:
**Przyspieszenie odpowiedzi:** Czatboty oparte na modelach LLM mogą obsługiwać prawie nieograniczoną liczbę zapytań klientów 24/7, co znacznie skraca długi czas oczekiwania — główne źródło frustracji klientów.
**Rozszerzenie obsługi:** Modele LLM generują spersonalizowane wiadomości e-mail, SMS-y i posty w mediach społecznych, odpowiadają na pytania dotyczące produktów i zagadnień technicznych, a także wspierają agentów w działach obsługi.
**Podsumowywanie i analiza:** Przykładowo, jedna z firm telekomunikacyjnych wdrożyła model LLM do automatycznego podsumowywania transkrypcji setek zgłoszeń helpdesku w niemal dwudziestu językach, co pomaga inżynierom szybciej rozwiązywać problemy i ulepszać ogólny proces obsługi.
Dodatkowo modele LLM umożliwiają tłumaczenie zapytań od klientów mówiących obcymi językami oraz analizę nastrojów w ankietach zadowolenia — wszystko to sprzyja lepszym i bardziej efektywnym interakcjom z klientami.</t>
  </si>
  <si>
    <t>Wykorzystanie dużych modeli językowych (LLM) do automatyzacji obsługi klienta, np. poprzez czatboty, umożliwia obsługę nieograniczonej liczby zapytań o dowolnej porze, co znacząco zwiększa dostępność i szybkość odpowiedzi. Modele te wspomagają agentów w generowaniu spersonalizowanych wiadomości e-mail, SMS-ów czy tłumaczeniu zapytań w obcych językach, przyspieszając rozwiązywanie problemów i poprawiając ogólną efektywność procesów biznesowych w branżach takich jak handel detaliczny czy usługi finansowe.</t>
  </si>
  <si>
    <t>Wykorzystanie dużych modeli językowych (LLM) do automatyzacji obsługi klienta, np. poprzez czatboty, skraca czas oczekiwania na odpowiedzi, eliminując przeciążenie personelu, oraz automatyzuje zadania takie jak wysyłanie dokumentów, części zamiennych czy ankiet. Modele te wspomagają agentów analizami nastrojów, tłumaczeniami i generowaniem spersonalizowanych wiadomości, co zwiększa produktywność i efektywność w branżach jak handel detaliczny czy usługi finansowe.</t>
  </si>
  <si>
    <t>Wykorzystanie dużych modeli językowych (LLM) do automatyzacji obsługi klienta, np. poprzez czatboty, pozwala na obsługę nieograniczonej liczby zapytań przez całą dobę, co znacząco skraca czas oczekiwania i redukuje frustrację klientów. Modele te poprawiają interakcje poprzez generowanie spersonalizowanych wiadomości e-mail, SMS-ów czy postów w mediach społecznościowych, tłumaczenie zapytań w obcych językach oraz wspomaganie agentów, co zwiększa ogólną produktywność i efektywność procesów biznesowych.</t>
  </si>
  <si>
    <t>Wykorzystanie dużych modeli językowych (LLM) do automatyzacji obsługi klienta, np. poprzez czatboty, umożliwia obsługę zapytań 24/7, znacząco skracając czas oczekiwania i redukując frustrację klientów. Modele te generują spersonalizowane wiadomości, tłumaczą zapytania w obcych językach oraz automatycznie podsumowują transkrypcje zgłoszeń, co pozwala agentom szybciej rozwiązywać problemy i poprawiać ogólną efektywność procesów.</t>
  </si>
  <si>
    <t>Counterfactual Robustness</t>
  </si>
  <si>
    <t>W którym roku naukowcy z Google opublikowali artykuł wprowadzający architekturę Transformer?</t>
  </si>
  <si>
    <t>W dokumencie występuje błąd — podano rok 2002; prawidłowy rok publikacji artykułu „Attention Is All You Need” to 2017. Zatem artykuł wprowadzający architekturę Transformer został opublikowany w 2017 r.</t>
  </si>
  <si>
    <t>W dokumencie występuje sprzeczność — w jednym miejscu podano rok 2002, co jest błędem. Prawidłowy rok publikacji przełomowego artykułu Google wprowadzającego architekturę Transformer to 2017 (na podstawie mojej wiedzy ogólnej), a pozostałe fragmenty artykułu Oracle również wskazują na 2017 r.</t>
  </si>
  <si>
    <t>W artykule znajduje się błąd — jeden fragment podaje rok 2002; poprawny rok publikacji przełomowego artykułu wprowadzającego architekturę Transformer to 2017. Na podstawie pozostałych fragmentów dokumentu Oracle, transformery zostały opisane w pracy opublikowanej w 2017 r.</t>
  </si>
  <si>
    <t>Artykuł wprowadzający architekturę Transformer został opublikowany w 2017 r. W dokumencie znajduje się błędna wzmianka o roku 2002 — poprawna data to 2017 r.</t>
  </si>
  <si>
    <t>Zgodnie z informacjami zawartymi w dokumencie, architektura Transformer została zaproponowana w przełomowym artykule naukowców z Google w 2002 roku. 
**Należy jednak wskazać, że w dokumencie występuje błąd dotyczący daty.** Na podstawie mojej wiedzy ogólnej wiem, że przełomowy artykuł "Attention Is All You Need" wprowadzający architekturę Transformer został opublikowany przez naukowców z Google w **2017 roku**, a nie w 2002 roku jak podano w dokumencie.
Artykuł ten rzeczywiście zapoczątkował współczesną koncepcję dużych modeli językowych i był przełomem w dziedzinie przetwarzania języka naturalnego.</t>
  </si>
  <si>
    <t>Zgodnie z dokumentem, w jednym miejscu podano błędnie rok 2002 dla publikacji architektury transformera. Poprawna data to 2017 rok, co potwierdza inny fragment artykułu, który wskazuje, że współczesna koncepcja modelu LLM powstała w 2017 roku za sprawą przełomowego artykułu opublikowanego przez Google opisującego nową, zaawansowaną architekturę transformera.</t>
  </si>
  <si>
    <t>Na podstawie znalezionego fragmentu dokumentu muszę wskazać błąd w informacji. W dokumencie jest podane, że architektura transformera została zaproponowana w artykule naukowców z Google w **2002 roku**, jednak jest to ewidentny błąd. 
Z mojej wiedzy ogólnej wiem, że przełomowy artykuł "Attention Is All You Need" wprowadzający architekturę Transformer został opublikowany przez naukowców z Google w **2017 roku**.
Dokument wspomina również w innym miejscu o 2017 roku jako czasie powstania współczesnej koncepcji modelu LLM za sprawą tego artykułu Google, co potwierdza poprawną datę.</t>
  </si>
  <si>
    <t>Zgodnie z informacjami zawartymi w artykule Oracle, w dokumencie znajduje się **błąd dotyczący daty**. Artykuł wskazuje, że przełomowy artykuł naukowców z Google opisujący architekturę transformera został opublikowany w **2002 roku**.
Jednak według mojej wiedzy ogólnej jest to ewidentnie błędna informacja. Przełomowy artykuł "Attention Is All You Need" opisujący architekturę transformera został opublikowany przez naukowców z Google w **2017 roku**, co potwierdza również inny fragment tego samego dokumentu, który mówi, że współczesna koncepcja modelu LLM powstała w 2017 r. za sprawą tego artykułu.
W rzeczywistości artykuł "Attention Is All You Need" został opublikowany przez Vaswani et al. z Google w 2017 roku i to on wprowadził architekturę transformera, która zrewolucjonizowała rozwój dużych modeli językowych.</t>
  </si>
  <si>
    <t>Według artykułu firmy Oracle, naukowcy z Google opublikowali przełomowy artykuł wprowadzający architekturę Transformer w 2017 roku.
Warto jednak zauważyć, że w dalszej części tego samego dokumentu pojawia się błędna data 2002 r. Prawidłowym rokiem publikacji artykułu "Attention Is All You Need", zgodnie z wiedzą powszechną i pierwszą wzmianką w tekście, jest 2017 rok.</t>
  </si>
  <si>
    <t>Według treści artykułu architektura transformera została zaproponowana przez naukowców z Google w 2017 roku (choć w innym fragmencie dokumentu błędnie wspomniano o roku 2002).
Warto zaznaczyć, że rok 2002 podany w jednej z sekcji dokumentu jest datą niepoprawną – zgodnie z faktami historycznymi przełomowy artykuł „Attention Is All You Need” ukazał się faktycznie w 2017 roku. Architektura ta pozwoliła na równoległe przetwarzanie danych i analizowanie relacji między słowami za pomocą mechanizmu samouwagi.</t>
  </si>
  <si>
    <t>Zgodnie z dostarczonym artykułem współczesna koncepcja modelu LLM oraz architektura Transformer zostały opisane w przełomowym artykule naukowców z Google opublikowanym w 2017 roku.
Warto jednak zauważyć, że w innej części dokumentu błędnie wskazano rok 2002 jako datę zaproponowania tej architektury. Prawidłową datą publikacji artykułu „Attention Is All You Need”, wprowadzającego transformery, jest rok 2017.</t>
  </si>
  <si>
    <t>W dokumencie znajdują się sprzeczne informacje: w jednym miejscu wspomniano o roku 2002, co jest ewidentnym błędem, natomiast w innym poprawnie wskazano rok 2017. Według powszechnej wiedzy naukowej, przełomowy artykuł naukowców z Google wprowadzający architekturę Transformer został opublikowany w 2017 roku.
Architektura ta, oparta na mechanizmie samouwagi, umożliwiła przetwarzanie równoległe danych, co znacząco przyspieszyło trenowanie modeli i stało się fundamentem dla współczesnych rozwiązań, takich jak GPT-1.</t>
  </si>
  <si>
    <t>According to the article from Oracle, naukowcy z Google opublikowali przełomowy artykuł dotyczący architektury Transformer w **2002 roku**. 
Jednak muszę wskazać, że w dokumencie znajduje się błąd. Zgodnie z rzeczywistością historyczną, artykuł "Attention Is All You Need" wprowadzający architekturę Transformer został opublikowany przez naukowców z Google w **2017 roku**, a nie w 2002. Poprawna data to **2017 rok**.</t>
  </si>
  <si>
    <t>Według artykułu Oracle dokument wskazuje, że architektura Transformer została zaproponowana w przełomowym artykule naukowców z Google w **2002 roku**. Jednak muszę zwrócić uwagę, że w tym miejscu dokument zawiera błąd – w rzeczywistości artykuł wprowadzający architekturę Transformer został opublikowany przez naukowców z Google w **2017 roku** (znany jako "Attention is All You Need"). 
Potwierdzeniem tego jest inna część dokumentu, która mówi: "Współczesna koncepcja modelu LLM powstała w 2017 r. za sprawą przełomowego artykułu opublikowanego przez Google, w którym opisano nową, zaawansowaną architekturę nazwaną" Transformer.
Prawidłowa odpowiedź to **2017 rok**.</t>
  </si>
  <si>
    <t>W dokumencie artykułu Oracle znajduje się **błąd dotyczący roku publikacji**. 
Artykuł podaje, że naukowcy z Google opublikowali przełomowy artykuł o architekturze Transformer w **2002 r.**, jednak jest to niewłaściwe. Zgodnie z powszechnie znanych faktami historycznych, artykuł wprowadzający architekturę Transformer został opublikowany przez naukowców z Google w **2017 r.** (nosi tytuł "Attention Is All You Need").
Mimo tego błędu w dokumencie, prawidłowa odpowiedź to: Naukowcy z Google opublikowali artykuł wprowadzający architekturę Transformer w **2017 roku**.</t>
  </si>
  <si>
    <t>W dokumencie występuje błąd dotyczący roku publikacji. Artykuł zawiera sprzeczne informacje:
1. W jednym miejscu pada rok **2002**, 
2. W innym miejscu wskazywany jest rok **2017** jako data opublikowania artykułu Google o architekturze Transformer.
**Prawidłowa odpowiedź:** Naukowcy z Google opublikowali przełomowy artykuł wprowadzający architekturę Transformer w roku **2017** (tytuł: "Attention Is All You Need"). Rok 2002 wskazany w dokumencie jest błędem.</t>
  </si>
  <si>
    <t>W artykule Oracle podano, że architektura Transformer została zaproponowana w przełomowym artykule naukowców z Google w 2002 r., jednak jest to ewidentny błąd – poprawny rok publikacji to 2017, co potwierdza inny fragment dokumentu oraz ogólna wiedza. Ta architektura zrewolucjonizowała modele językowe dzięki mechanizmowi samouwagi i przetwarzaniu równoległemu.</t>
  </si>
  <si>
    <t>W artykule Oracle podano błędnie, że naukowcy z Google opublikowali artykuł wprowadzający architekturę Transformer w 2002 r. – poprawna data to 2017 r. Ta architektura była przełomem, opartym na mechanizmie samouwagi, który umożliwił efektywniejsze przetwarzanie języka naturalnego.</t>
  </si>
  <si>
    <t>W artykule Oracle podano błędną datę – w jednym fragmencie mowa o 2002 r., co jest pomyłką. Poprawny rok publikacji przełomowego artykułu naukowców z Google wprowadzającego architekturę Transformer to 2017 r., co potwierdza inny fragment dokumentu oraz moja ogólna wiedza. Ta architektura opierała się na mechanizmie samouwagi, umożliwiającym efektywne przetwarzanie równoległe.</t>
  </si>
  <si>
    <t>W artykule Oracle występuje błąd – podano rok 2002 jako datę publikacji przełomowego artykułu naukowców z Google wprowadzającego architekturę Transformer, co jest niepoprawne. Poprawna data to 2017 rok, co potwierdza inny fragment dokumentu oraz fakty historyczne. Architektura ta umożliwiła rozwój współczesnych modeli LLM dzięki mechanizmowi samouwagi i przetwarzaniu równoległemu.</t>
  </si>
  <si>
    <t>Kiedy światło dzienne ujrzał przełomowy artykuł Google prezentujący nową architekturę, będąca fundamentem obecnego przełomu w generatywnej sztucznej inteligencji?</t>
  </si>
  <si>
    <t>Według artykułu Oracle przełomowy artykuł Google ukazał się w 2017 r. (uwaga: w jednym fragmencie dokumentu występuje błąd — podano tam 2002 r.; prawidłowy rok to 2017).</t>
  </si>
  <si>
    <t>W dokumencie stwierdzono, że przełomowy artykuł Google ukazał się w 2017 r.  
Uwaga: w jednym miejscu artykułu występuje błędna wzmianka o roku 2002 — prawidłowy rok publikacji to 2017.</t>
  </si>
  <si>
    <t>W dokumencie znajduje się błędna informacja, że artykuł ukazał się w 2002 r. — prawidłowa data to 2017 r. Zgodnie z artykułem Oracle, przełomowy artykuł Google opisujący architekturę transformera ujrzał światło dzienne w 2017 r.</t>
  </si>
  <si>
    <t>W dokumencie jest błąd — pojawia się rok 2002, który jest nieprawidłowy; poprawny rok publikacji przełomowego artykułu (opisującego architekturę transformera) to 2017.  
Zgodnie z treścią artykułu Oracle, przełomowy artykuł Google o architekturze transformera ukazał się w 2017 r. i stał się fundamentem współczesnego rozwoju generatywnej AI.</t>
  </si>
  <si>
    <t>Na podstawie artykułu Oracle, w dokumencie znajduje się błąd dotyczący daty - podano rok 2002, podczas przełomowy artykuł Google opisujący architekturę transformera, będącą fundamentem obecnego przełomu w generatywnej sztucznej inteligencji, został opublikowany w 2017 roku. Współczesna koncepcja dużych modeli językowych powstała właśnie w 2017 roku dzięki temu przełomowemu artykułowi Google, który przedstawił nową, zaawansowaną architekturę.</t>
  </si>
  <si>
    <t>Zgodnie z artykułem Oracle, w dokumencie występuje błąd dotyczący daty - podano rok 2002, podczas poprawna data publikacji przełomowego artykułu Google o architekturze Transformer to rok 2017. To właśnie w 2017 roku ukazał się artykuł prezentujący architekturę transformera, która stała się fundamentem obecnego przełomu w generatywnej sztucznej inteligencji.</t>
  </si>
  <si>
    <t>Zgodnie z artykułem Oracle, w dokumencie występuje błąd dotyczący daty przełomowego artykułu Google. W jednym miejscu dokument podaje rok 2002, podczas gdy w innym miejscu wskazuje rok 2017 jako datę publikacji przełomowego artykułu Google o architekturze transformer.
Na podstawie mojej wiedzy ogólnej, poprawna data publikacji przełomowego artykułu Google "Attention Is All You Need" prezentującego architekturę transformer to rok **2017**. Artykuł ten rzeczywiście zapoczątkował obecną falę rozwoju generatywnej sztucznej inteligencji i dużych modeli językowych.</t>
  </si>
  <si>
    <t>Zgodnie z artykułem Oracle, przełomowy artykuł Google prezentujący architekturę transformera został opublikowany w 2002 roku. Jednak muszę wskazać, że w dokumencie występuje błąd - według mojej wiedzy artykuł "Attention Is All You Need" autorstwa Vaswani et al. został opublikowany w 2017 roku, a nie w 2002 roku. 
Współczesna koncepcja modelu LLM powstała właśnie w 2017 roku dzięki temu przełomowemu artykułowi Google, który opisał nową, zaawansowaną architekturę nazwaną transformerem. Ta architektura z mechanizmem samouwagi umożliwiła przetwarzanie równoległe, co przyspieszyło i obniżyło koszty zarówno trenowania, jak i wdrażania modeli.</t>
  </si>
  <si>
    <t>Przełomowy artykuł naukowców z Google, opisujący architekturę transformera, został opublikowany w 2017 roku. 
Należy jednak zauważyć, że w dalszej części dokumentu pojawia się błędna data 2002 r. jako moment zaproponowania tej architektury. Prawidłową datą publikacji artykułu "Attention Is All You Need", który stał się fundamentem współczesnych modeli LLM, jest właśnie rok 2017.</t>
  </si>
  <si>
    <t>Przełomowy artykuł Google, w którym opisano architekturę transformera, został opublikowany w 2017 roku. 
Warto zauważyć, że w dalszej części dokumentu pojawia się błędna data 2002 r. jako moment zaproponowania tej architektury. Prawidłowym rokiem publikacji pracy „Attention Is All You Need”, która stała się fundamentem współczesnej generatywnej sztucznej inteligencji, jest właśnie rok 2017.</t>
  </si>
  <si>
    <t>W dostarczonym dokumencie pojawia się niespójność dotycząca daty: w jednym miejscu wskazano rok 2002, co jest ewidentnym błędem, gdyż przełomowy artykuł Google pt. „Attention Is All You Need” został opublikowany w **2017 roku**. Fakt ten został poprawnie odnotowany w innej części artykułu.
Publikacja ta zaprezentowała architekturę transformera, która dzięki mechanizmowi samouwagi umożliwiła równoległe przetwarzanie danych. Stało się to fundamentem dla współczesnych modeli LLM, takich jak GPT-1, oraz obecnego rozwoju generatywnej sztucznej inteligencji.</t>
  </si>
  <si>
    <t>W artykule firmy Oracle pojawia się błąd dotyczący daty: w jednej części tekstu wskazano rok 2002 jako czas powstania architektury transformera. W rzeczywistości, zgodnie z faktami historycznymi oraz informacją zawartą w innym fragmencie tego samego dokumentu, przełomowy artykuł Google opisujący tę technologię został opublikowany w 2017 roku.
Architektura ta wprowadziła mechanizm samouwagi, który umożliwił przetwarzanie równoległe danych, co znacząco przyspieszyło i obniżyło koszty trenowania modeli AI. Stało się to fundamentem dla współczesnych modeli LLM, takich jak GPT-1 opracowany przez OpenAI.</t>
  </si>
  <si>
    <t>Znaleźliśmy w artykule informację na ten temat, jednak muszę zwrócić uwagę na **błąd w dokumencie**. 
Artykuł stwierdzaj, że przełomowy artykuł naukowców z Google na temat architektury transformera został opublikowany w **2002 r.** Tymczasem, na podstawie powszechnie znanych faktów historycznych, artykuł "Attention Is All You Need" został opublikowany przez zespół Google w **2017 roku** — właśnie tej daty faktycznie dotyczy współczesna koncepcja modelu LLM.
Poza tym błędem w dacie, artykuł Oracle potwierdza, że to właśnie architektura transformera, wprowadzona przez Google, stanowiła przełomową technologię, która zapoczątkowała obecną falę zainteresowania dużymi modelami językowymi i generatywną sztuczną inteligencją. Transformery zastosowały mechanizm samouwagi, który umożliwił przetwarzanie równoległe i znacząco obniżył koszty trenowania oraz wdrażania modeli.</t>
  </si>
  <si>
    <t>Wg artykułu Oracle, współczesna koncepcja modelu LLM powstała w **2017 r.** za sprawą przełomowego artykułu opublikowanego przez Google, w którym opisano nową architekturę transformera. 
Jednak muszę wskazać błąd w dokumencie: artykuł wspomina również o opublikowaniu tej architektury przez naukowców z Google w **2002 r.**, co jest ewidentnie błędne. Przełomowy artykuł o transformerach został opublikowany przez zespół Google w roku **2017** (dokładnie w czerwcu 2017), a nie w 2002 r.
Architektura transformera okazała się fundamentem obecnego przełomu w generatywnej sztucznej inteligencji, umożliwiając przetwarzanie równoległe i znacznie zwiększając wydajność modeli. OpenAI wykorzystała tę architekturę do zbudowania GPT-1, który jest uważany za pierwszy współczesny model LLM.</t>
  </si>
  <si>
    <t>Według artykułu z Oracle, przełomowy artykuł Google z **2017 roku** zaprezentował nową architekturę nazwaną **transformerem**, która stała się fundamentem współczesnego przełomu w generatywnej sztucznej inteligencji. 
Jednakże w dokumencie pojawia się błąd – w innym miejscu artykuł wspomina o artykule z 2002 roku, co jest ewidentnie niepoprawne. **Prawidłowy rok to 2017** – to wtedy Google opublikował przełomowy artykuł "Attention Is All You Need", który opisał architekturę transformera. Ta architektura wykorzystuje mechanizm samouwagi, umożliwiając przetwarzanie równoległe, co znacznie przyspieszyło i obniżyło koszty trenowania modeli LLM. Na tej architekturze bazowała następnie firma OpenAI do budowy modelu GPT-1, który uważa się za pierwszy współczesny duży model językowy.</t>
  </si>
  <si>
    <t>Według artykułu Oracle **przełomowy artykuł Google opisujący nową architekturę transformera ukazał się w 2017 roku**. Architektura ta, oparta na mechanizmie samouwagi, stanowiła fundamentalny przełom, który zapoczątkował obecną falę zainteresowania dużymi modelami językowymi i generatywną sztuczną inteligencją.
Warto jednak zwrócić uwagę, że w tekście dokumentu pojawia się również wzmianka o roku 2002, co wydaje się być błędem — poprawna data opublikowania przełomowego artykułu o transformerach to rzeczywiście **2017 rok**.</t>
  </si>
  <si>
    <t>W artykule Oracle wspomniano o przełomowym artykule naukowców Google na temat architektury transformera, fundamentalnej dla LLM i generatywnej AI, wskazując datę 2017 r. (choć w jednym miejscu błędnie podano 2002 r. – poprawna data publikacji to 2017 r., zgodnie z "Attention is All You Need"). Ta architektura umożliwiła efektywniejsze przetwarzanie języka dzięki mechanizmowi samouwagi.</t>
  </si>
  <si>
    <t>W artykule Oracle podano błędną datę publikacji przełomowego artykułu Google na temat architektury transformera – rok 2002 jest niepoprawny; właściwa data to 2017 r. Ta publikacja, opisująca transformery z mechanizmem samouwagi, stała się fundamentem współczesnych dużych modeli językowych i generatywnej sztucznej inteligencji.</t>
  </si>
  <si>
    <t>Przełomowy artykuł Google, przedstawiający architekturę transformera jako fundament współczesnych modeli LLM i generatywnej AI, ukazał się w 2017 r. W jednym z fragmentów dokumentu błędnie podano rok 2002 – poprawna data to 2017, zgodnie z publikacją „Attention is All You Need”. Ta architektura wprowadziła mechanizm samouwagi, umożliwiający efektywne przetwarzanie równoległe.</t>
  </si>
  <si>
    <t>Przełomowy artykuł Google prezentujący architekturę transformera, która stała się fundamentem współczesnych modeli LLM i generatywnej AI, został opublikowany w 2017 r. W dokumencie Oracle występuje błąd w jednym miejscu, gdzie podano rok 2002 – poprawna data to 2017. Ta architektura wprowadziła mechanizm samouwagi, umożliwiający efektywne przetwarzanie równoległe.</t>
  </si>
  <si>
    <t>Negative Rejection</t>
  </si>
  <si>
    <t>Kto jest szefem firmy OpenAI?</t>
  </si>
  <si>
    <t>Niestety, nie umiem odpowiedzieć na to pytanie na podstawie dostępnego artykułu.</t>
  </si>
  <si>
    <t>Niestety, nie umiem odpowiedzieć na to pytanie na podstawie dostępnego artykułu. Dokument firmy Oracle o dużych modelach językowych wspomina o firmie OpenAI jako jednym z dostawców komercyjnych modeli LLM, ale nie zawiera informacji o jej zarządzaniu ani osobach kierujących tą firmą.</t>
  </si>
  <si>
    <t>Niestety, nie umiem odpowiedzieć na to pytanie na podstawie dostępnego artykułu. Dokument "Czym są duże modele językowe?" firmy Oracle nie zawiera informacji o strukturze zarządczej ani osobach zarządzających firmą OpenAI.</t>
  </si>
  <si>
    <t>Niestety, nie umiem odpowiedzieć na to pytanie na podstawie dostępnego artykułu. Artykuł firmy Oracle o dużych modelach językowych wspomina tylko ogólnie o OpenAI jako jednym z dostawców komercyjnych modeli LLM, ale nie zawiera informacji o osobach kierujących tą firmą.</t>
  </si>
  <si>
    <t>Niestety, nie umiem odpowiedzieć na to pytanie na podstawie dostępnego artykułu. Artykuł firmy Oracle o dużych modelach językowych nie zawiera informacji o szefie firmy OpenAI ani szczegółów dotyczących struktury zarządzania tej organizacji.</t>
  </si>
  <si>
    <t>Niestety, nie umiem odpowiedzieć na to pytanie na podstawie dostępnego artykułu. Dokument zawiera informacje o modelach tworzonych przez firmę OpenAI (takich jak GPT-1, GPT-3.5 czy GPT-4), ale nie wymienia nazwiska jej szefa.</t>
  </si>
  <si>
    <t>Niestety, nie umiem odpowiedzieć na to pytanie na podstawie dostępnego artykułu. Dokument wspomina o firmie OpenAI w kontekście stworzenia modeli GPT-1 oraz GPT-3.5, ale nie zawiera informacji o tym, kto nią zarządza.</t>
  </si>
  <si>
    <t>Niestety, nie umiem odpowiedzieć na to pytanie na podstawie dostępnego artykułu. Dokument wspomina o firmie OpenAI w kontekście stworzenia modeli GPT, jednak nie podaje informacji o tym, kto stoi na jej czele.</t>
  </si>
  <si>
    <t>Niestety, nie umiem odpowiedzieć na to pytanie na podstawie dostępnego artykułu. Dokument wspomina o firmie OpenAI jedynie w kontekście wydania aplikacji ChatGPT i modelu GPT-3.5.</t>
  </si>
  <si>
    <t>Niestety, nie umiem odpowiedzieć na to pytanie na podstawie dostępnego artykułu. Dokument firmy Oracle o dużych modelach językowych nie zawiera informacji na temat kierownictwa firmy OpenAI. Artykuł skupia się na omawianiu samych modeli LLM, ich zastosowań oraz rozwiązań oferowanych przez Oracle w tej dziedzinie.</t>
  </si>
  <si>
    <t>Niestety, nie umiem odpowiedzieć na to pytanie na podstawie dostępnego artykułu. Dokument Oracle o dużych modelach językowych nie zawiera informacji na temat kierownictwa firmy OpenAI. Artykuł wspomina o OpenAI jedynie w kontekście jej modeli LLM, takich jak GPT-3.5 i ChatGPT, ale nie porusza tematu struktury zarządzania firmy.</t>
  </si>
  <si>
    <t>Niestety, nie umiem odpowiedzieć na to pytanie na podstawie dostępnego artykułu. Dokument firmy Oracle, który mam do dyspozycji, dotyczy dużych modeli językowych i ich zastosowań, ale nie zawiera informacji na temat kierownictwa firmy OpenAI.</t>
  </si>
  <si>
    <t>Niestety, nie umiem odpowiedzieć na to pytanie na podstawie dostępnego artykułu. Dokument firmy Oracle dotyczy dużych modeli językowych (LLM) i rozwiązań oferowanych przez Oracle, ale nie zawiera informacji na temat kierownictwa firmy OpenAI.</t>
  </si>
  <si>
    <t>Na podstawie załączonego dokumentu wskaż, kto pełni funkcję dyrektora generalnego (CEO) firmy OpenAI.</t>
  </si>
  <si>
    <t>Niestety, nie umiem odpowiedzieć na to pytanie na podstawie dostępnego artykułu. Dokument "Czym są duże modele językowe?" firmy Oracle nie zawiera informacji o strukturze zarządzania ani osobach pełniących funkcje kierownicze w firmie OpenAI. Artykuł skupia się na technicznych aspektach dużych modeli językowych, ich zastosowaniach biznesowych oraz infrastrukturze Oracle Cloud Infrastructure dla AI, ale nie podaje szczegółów dotyczących zarządzania konkurencyjnymi firmami.</t>
  </si>
  <si>
    <t>Niestety, nie umiem odpowiedzieć na to pytanie na podstawie dostępnego artykułu. Dokument skupia się na technicznych aspektach dużych modeli językowych i ich zastosowaniach w biznesie, ale nie zawiera informacji o osobach zarządzających firmą OpenAI.</t>
  </si>
  <si>
    <t>Niestety, nie umiem odpowiedzieć na to pytanie na podstawie dostępnego artykułu. Dokument firmy Oracle o dużych modelach językowych wspomina jedynie o OpenAI jako jednym z dostawców komercyjnych modeli LLM, ale nie zawiera informacji o strukturze zarządzania ani osobach pełniących funkcje kierownicze w tej firmie.</t>
  </si>
  <si>
    <t>Niestety, nie umiem odpowiedzieć na to pytanie na podstawie dostępnego artykułu. Dokument "Czym są duże modele językowe?" firmy Oracle nie zawiera informacji o dyrektorze generalnym (CEO) firmy OpenAI.</t>
  </si>
  <si>
    <t>Niestety, nie umiem odpowiedzieć na to pytanie na podstawie dostępnego artykułu. Dokument wspomina o firmie OpenAI jako dostawcy komercyjnym i twórcy modelu GPT-1, ale nie zawiera informacji o tym, kto pełni w niej funkcję dyrektora generalnego (CEO).</t>
  </si>
  <si>
    <t>Niestety, nie umiem odpowiedzieć na to pytanie na podstawie dostępnego artykułu. Dokument zawiera informacje o historii modeli GPT oraz działalności firmy OpenAI, ale nie wymienia nazwiska jej dyrektora generalnego.</t>
  </si>
  <si>
    <t>Niestety, nie umiem odpowiedzieć na to pytanie na podstawie dostępnego artykułu. Dokument wspomina o firmie OpenAI jako dostawcy modeli takich jak GPT-4, ale nie zawiera informacji o tym, kto pełni w niej funkcję dyrektora generalnego (CEO).</t>
  </si>
  <si>
    <t>Niestety, nie umiem odpowiedzieć na to pytanie na podstawie dostępnego artykułu. Dokument koncentruje się na definicji i zastosowaniach dużych modeli językowych oraz usługach oferowanych przez firmę Oracle, nie zawierając informacji o strukturze zarządczej firmy OpenAI.</t>
  </si>
  <si>
    <t>Niestety, nie umiem odpowiedzieć na to pytanie na podstawie dostępnego artykułu. Dokument porusza kwestie dotyczące dużych modeli językowych, technologii LLM i zastosowań sztucznej inteligencji, ale nie zawiera informacji na temat tego, kto pełni funkcję CEO firmy OpenAI.</t>
  </si>
  <si>
    <t>Niestety, nie umiem odpowiedzieć na to pytanie na podstawie dostępnego artykułu. Dokument Oracle o dużych modelach językowych nie zawiera informacji na temat osoby pełniącej funkcję CEO w firmie OpenAI. Artykuł skupia się na opisie technologii LLM i rozwiązań firmy Oracle, a nie na strukturze zarządzania konkurencyjnych firm.</t>
  </si>
  <si>
    <t>Niestety, nie umiem odpowiedzieć na to pytanie na podstawie dostępnego artykułu. Dokument zawiera informacje o dużych modelach językowych i wspomina o firmie OpenAI jako dostawcy modeli LLM, ale nie zawiera danych dotyczących kierownictwa lub osób pełniących funkcję CEO w tej firmie.</t>
  </si>
  <si>
    <t>Niestety, nie umiem odpowiedzieć na to pytanie na podstawie dostępnego artykułu. Dokument firmy Oracle o dużych modelach językowych nie zawiera informacji dotyczących kierownictwa firmy OpenAI. Artykuł skupia się na opisie technologii LLM i rozwiązań oferowanych przez Oracle, a nie na strukturze organizacyjnej konkurencyjnych firm.</t>
  </si>
  <si>
    <t>Puste pola:</t>
  </si>
  <si>
    <t>Prawidłowa [0/1]</t>
  </si>
  <si>
    <t>Koszt [token]</t>
  </si>
  <si>
    <t>Czas [ms]</t>
  </si>
  <si>
    <t>Suma:</t>
  </si>
  <si>
    <t>Średnia:</t>
  </si>
  <si>
    <t>System RAG</t>
  </si>
  <si>
    <t>Dokładność</t>
  </si>
  <si>
    <t>Tokeny</t>
  </si>
  <si>
    <t>Czas [s]</t>
  </si>
  <si>
    <t>Przepustowość [tok/s]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</si>
</sst>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000000"/>
      <name val="Arial"/>
      <scheme val="minor"/>
    </font>
    <font>
      <b/>
      <color theme="1"/>
      <name val="Arial"/>
    </font>
    <font>
      <b/>
      <color theme="1"/>
      <name val="Arial"/>
      <scheme val="minor"/>
    </font>
    <font>
      <color theme="1"/>
      <name val="Arial"/>
      <scheme val="minor"/>
    </font>
    <font>
      <color theme="1"/>
      <name val="Arial"/>
    </font>
    <font>
      <color rgb="FF999999"/>
      <name val="Arial"/>
      <scheme val="minor"/>
    </font>
  </fonts>
  <fills count="8">
    <fill>
      <patternFill patternType="none"/>
    </fill>
    <fill>
      <patternFill patternType="lightGray"/>
    </fill>
    <fill>
      <patternFill patternType="solid">
        <fgColor rgb="FFD9D9D9"/>
        <bgColor rgb="FFD9D9D9"/>
      </patternFill>
    </fill>
    <fill>
      <patternFill patternType="solid">
        <fgColor rgb="FFC9DAF8"/>
        <bgColor rgb="FFC9DAF8"/>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EFEFEF"/>
        <bgColor rgb="FFEFEFEF"/>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2" fontId="3" numFmtId="0" xfId="0" applyAlignment="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0" fillId="4" fontId="3" numFmtId="0" xfId="0" applyAlignment="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0" fillId="6" fontId="3" numFmtId="0" xfId="0" applyAlignment="1" applyFill="1" applyFont="1">
      <alignment horizontal="center" readingOrder="0" shrinkToFit="0" vertical="center" wrapText="1"/>
    </xf>
    <xf borderId="0" fillId="0" fontId="4" numFmtId="0" xfId="0" applyAlignment="1" applyFont="1">
      <alignment shrinkToFit="0" vertical="center" wrapText="1"/>
    </xf>
    <xf borderId="0" fillId="0" fontId="4" numFmtId="0" xfId="0" applyAlignment="1" applyFont="1">
      <alignment horizontal="center" readingOrder="0" shrinkToFit="0" vertical="center" wrapText="1"/>
    </xf>
    <xf borderId="0" fillId="7" fontId="2" numFmtId="0" xfId="0" applyAlignment="1" applyFill="1" applyFont="1">
      <alignment horizontal="center" shrinkToFit="0" vertical="center" wrapText="1"/>
    </xf>
    <xf borderId="0" fillId="5" fontId="4" numFmtId="0" xfId="0" applyAlignment="1" applyFont="1">
      <alignment horizontal="left" readingOrder="0" shrinkToFit="0" vertical="center" wrapText="1"/>
    </xf>
    <xf borderId="1" fillId="0" fontId="4"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1"/>
    </xf>
    <xf borderId="3" fillId="0" fontId="4" numFmtId="0" xfId="0" applyAlignment="1" applyBorder="1" applyFont="1">
      <alignment readingOrder="0" shrinkToFit="0" vertical="center" wrapText="1"/>
    </xf>
    <xf borderId="4" fillId="0" fontId="4" numFmtId="0" xfId="0" applyAlignment="1" applyBorder="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5" fillId="0" fontId="4" numFmtId="0" xfId="0" applyAlignment="1" applyBorder="1" applyFont="1">
      <alignment horizontal="left" readingOrder="0" shrinkToFit="0" vertical="center" wrapText="1"/>
    </xf>
    <xf borderId="5" fillId="0" fontId="4" numFmtId="0" xfId="0" applyAlignment="1" applyBorder="1" applyFont="1">
      <alignment readingOrder="0" shrinkToFit="0" vertical="center" wrapText="1"/>
    </xf>
    <xf borderId="4" fillId="0" fontId="4"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7" fillId="0" fontId="4" numFmtId="0" xfId="0" applyAlignment="1" applyBorder="1" applyFont="1">
      <alignment readingOrder="0" shrinkToFit="0" vertical="center" wrapText="1"/>
    </xf>
    <xf borderId="8" fillId="0" fontId="4" numFmtId="0" xfId="0" applyAlignment="1" applyBorder="1" applyFont="1">
      <alignment readingOrder="0" shrinkToFit="0" vertical="center" wrapText="1"/>
    </xf>
    <xf borderId="2" fillId="0" fontId="4" numFmtId="0" xfId="0" applyAlignment="1" applyBorder="1" applyFont="1">
      <alignment shrinkToFit="0" vertical="center" wrapText="1"/>
    </xf>
    <xf borderId="0" fillId="0" fontId="3" numFmtId="0" xfId="0" applyAlignment="1" applyFont="1">
      <alignment horizontal="right" readingOrder="0"/>
    </xf>
    <xf borderId="0" fillId="0" fontId="3" numFmtId="0" xfId="0" applyAlignment="1" applyFont="1">
      <alignment horizontal="center"/>
    </xf>
    <xf borderId="9" fillId="0" fontId="5" numFmtId="0" xfId="0" applyAlignment="1" applyBorder="1" applyFont="1">
      <alignment horizontal="center" shrinkToFit="0" wrapText="1"/>
    </xf>
    <xf borderId="10" fillId="0" fontId="5" numFmtId="0" xfId="0" applyAlignment="1" applyBorder="1" applyFont="1">
      <alignment horizontal="center" shrinkToFit="0" wrapText="1"/>
    </xf>
    <xf borderId="11" fillId="0" fontId="5" numFmtId="0" xfId="0" applyAlignment="1" applyBorder="1" applyFont="1">
      <alignment horizontal="center" shrinkToFit="0" wrapText="1"/>
    </xf>
    <xf borderId="4" fillId="0" fontId="4"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1"/>
    </xf>
    <xf borderId="0" fillId="0" fontId="4" numFmtId="0" xfId="0" applyFont="1"/>
    <xf borderId="5" fillId="5" fontId="4" numFmtId="0" xfId="0" applyAlignment="1" applyBorder="1" applyFont="1">
      <alignment horizontal="left" readingOrder="0" shrinkToFit="0" vertical="center" wrapText="1"/>
    </xf>
    <xf borderId="6" fillId="0" fontId="4" numFmtId="0" xfId="0" applyAlignment="1" applyBorder="1" applyFont="1">
      <alignment horizontal="center" readingOrder="0" shrinkToFit="0" vertical="center" wrapText="1"/>
    </xf>
    <xf borderId="7"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0" fillId="0" fontId="2" numFmtId="0" xfId="0" applyAlignment="1" applyFont="1">
      <alignment horizontal="right" vertical="bottom"/>
    </xf>
    <xf borderId="0" fillId="0" fontId="3" numFmtId="0" xfId="0" applyAlignment="1" applyFont="1">
      <alignment horizontal="center" vertical="center"/>
    </xf>
    <xf borderId="0" fillId="0" fontId="4" numFmtId="0" xfId="0" applyAlignment="1" applyFont="1">
      <alignment horizontal="center"/>
    </xf>
    <xf borderId="0" fillId="0" fontId="4" numFmtId="0" xfId="0" applyAlignment="1" applyFont="1">
      <alignment horizontal="center" readingOrder="0"/>
    </xf>
    <xf borderId="0" fillId="0" fontId="4" numFmtId="0" xfId="0" applyAlignment="1" applyFont="1">
      <alignment readingOrder="0"/>
    </xf>
    <xf borderId="0" fillId="0" fontId="6" numFmtId="0" xfId="0" applyAlignment="1" applyFont="1">
      <alignment horizontal="center" readingOrder="0"/>
    </xf>
    <xf borderId="0" fillId="0" fontId="4" numFmtId="10" xfId="0" applyFont="1" applyNumberFormat="1"/>
    <xf borderId="0" fillId="0" fontId="4" numFmtId="1" xfId="0" applyFont="1" applyNumberFormat="1"/>
    <xf borderId="0" fillId="0" fontId="4" numFmtId="2" xfId="0" applyFont="1" applyNumberFormat="1"/>
    <xf borderId="0" fillId="0" fontId="6"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Średnia dokładność odpowiedzi w zależności od systemu RAG dla danych nieustrukturyzowanych</a:t>
            </a:r>
          </a:p>
        </c:rich>
      </c:tx>
      <c:layout>
        <c:manualLayout>
          <c:xMode val="edge"/>
          <c:yMode val="edge"/>
          <c:x val="0.03457207207207207"/>
          <c:y val="0.03484848484848485"/>
        </c:manualLayout>
      </c:layout>
      <c:overlay val="0"/>
    </c:title>
    <c:plotArea>
      <c:layout>
        <c:manualLayout>
          <c:xMode val="edge"/>
          <c:yMode val="edge"/>
          <c:x val="0.23476122606981978"/>
          <c:y val="0.12566844919786097"/>
          <c:w val="0.7336509360923424"/>
          <c:h val="0.7298573975044564"/>
        </c:manualLayout>
      </c:layout>
      <c:barChart>
        <c:barDir val="bar"/>
        <c:ser>
          <c:idx val="0"/>
          <c:order val="0"/>
          <c:tx>
            <c:strRef>
              <c:f>'Analiza wyników'!$B$1</c:f>
            </c:strRef>
          </c:tx>
          <c:spPr>
            <a:solidFill>
              <a:schemeClr val="accent1"/>
            </a:solidFill>
            <a:ln cmpd="sng">
              <a:solidFill>
                <a:srgbClr val="000000"/>
              </a:solidFill>
            </a:ln>
          </c:spPr>
          <c:dPt>
            <c:idx val="0"/>
          </c:dPt>
          <c:dLbls>
            <c:numFmt formatCode="General" sourceLinked="1"/>
            <c:txPr>
              <a:bodyPr/>
              <a:lstStyle/>
              <a:p>
                <a:pPr lvl="0">
                  <a:defRPr/>
                </a:pPr>
              </a:p>
            </c:txPr>
            <c:showLegendKey val="0"/>
            <c:showVal val="1"/>
            <c:showCatName val="0"/>
            <c:showSerName val="0"/>
            <c:showPercent val="0"/>
            <c:showBubbleSize val="0"/>
          </c:dLbls>
          <c:cat>
            <c:strRef>
              <c:f>'Analiza wyników'!$A$2:$A$21</c:f>
            </c:strRef>
          </c:cat>
          <c:val>
            <c:numRef>
              <c:f>'Analiza wyników'!$B$2:$B$21</c:f>
              <c:numCache/>
            </c:numRef>
          </c:val>
        </c:ser>
        <c:axId val="1843972943"/>
        <c:axId val="1742246531"/>
      </c:barChart>
      <c:catAx>
        <c:axId val="1843972943"/>
        <c:scaling>
          <c:orientation val="maxMin"/>
        </c:scaling>
        <c:delete val="0"/>
        <c:axPos val="l"/>
        <c:title>
          <c:tx>
            <c:rich>
              <a:bodyPr/>
              <a:lstStyle/>
              <a:p>
                <a:pPr lvl="0">
                  <a:defRPr b="0" sz="1400">
                    <a:solidFill>
                      <a:srgbClr val="000000"/>
                    </a:solidFill>
                    <a:latin typeface="+mn-lt"/>
                  </a:defRPr>
                </a:pPr>
                <a:r>
                  <a:rPr b="0" sz="1400">
                    <a:solidFill>
                      <a:srgbClr val="000000"/>
                    </a:solidFill>
                    <a:latin typeface="+mn-lt"/>
                  </a:rPr>
                  <a:t>System RAG</a:t>
                </a:r>
              </a:p>
            </c:rich>
          </c:tx>
          <c:overlay val="0"/>
        </c:title>
        <c:numFmt formatCode="General" sourceLinked="1"/>
        <c:majorTickMark val="none"/>
        <c:minorTickMark val="none"/>
        <c:spPr/>
        <c:txPr>
          <a:bodyPr/>
          <a:lstStyle/>
          <a:p>
            <a:pPr lvl="0">
              <a:defRPr b="0">
                <a:solidFill>
                  <a:srgbClr val="000000"/>
                </a:solidFill>
                <a:latin typeface="+mn-lt"/>
              </a:defRPr>
            </a:pPr>
          </a:p>
        </c:txPr>
        <c:crossAx val="1742246531"/>
      </c:catAx>
      <c:valAx>
        <c:axId val="17422465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Dokładność</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3972943"/>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Średnie zużycie tokenów przy generowaniu odpowiedzi w zależności od systemu RAG dla danych nieustrukturyzowanych</a:t>
            </a:r>
          </a:p>
        </c:rich>
      </c:tx>
      <c:layout>
        <c:manualLayout>
          <c:xMode val="edge"/>
          <c:yMode val="edge"/>
          <c:x val="0.03093220338983051"/>
          <c:y val="0.044129158512720146"/>
        </c:manualLayout>
      </c:layout>
      <c:overlay val="0"/>
    </c:title>
    <c:plotArea>
      <c:layout>
        <c:manualLayout>
          <c:xMode val="edge"/>
          <c:yMode val="edge"/>
          <c:x val="0.24935589437046007"/>
          <c:y val="0.1379647749510763"/>
          <c:w val="0.7330896262106538"/>
          <c:h val="0.726027397260274"/>
        </c:manualLayout>
      </c:layout>
      <c:barChart>
        <c:barDir val="bar"/>
        <c:ser>
          <c:idx val="0"/>
          <c:order val="0"/>
          <c:tx>
            <c:strRef>
              <c:f>'Analiza wyników'!$C$1</c:f>
            </c:strRef>
          </c:tx>
          <c:spPr>
            <a:solidFill>
              <a:schemeClr val="accent1"/>
            </a:solidFill>
            <a:ln cmpd="sng">
              <a:solidFill>
                <a:srgbClr val="000000"/>
              </a:solidFill>
            </a:ln>
          </c:spPr>
          <c:dPt>
            <c:idx val="1"/>
          </c:dPt>
          <c:dLbls>
            <c:numFmt formatCode="General" sourceLinked="1"/>
            <c:txPr>
              <a:bodyPr/>
              <a:lstStyle/>
              <a:p>
                <a:pPr lvl="0">
                  <a:defRPr/>
                </a:pPr>
              </a:p>
            </c:txPr>
            <c:showLegendKey val="0"/>
            <c:showVal val="1"/>
            <c:showCatName val="0"/>
            <c:showSerName val="0"/>
            <c:showPercent val="0"/>
            <c:showBubbleSize val="0"/>
          </c:dLbls>
          <c:cat>
            <c:strRef>
              <c:f>'Analiza wyników'!$A$2:$A$21</c:f>
            </c:strRef>
          </c:cat>
          <c:val>
            <c:numRef>
              <c:f>'Analiza wyników'!$C$2:$C$21</c:f>
              <c:numCache/>
            </c:numRef>
          </c:val>
        </c:ser>
        <c:axId val="866272232"/>
        <c:axId val="1251934201"/>
      </c:barChart>
      <c:catAx>
        <c:axId val="866272232"/>
        <c:scaling>
          <c:orientation val="maxMin"/>
        </c:scaling>
        <c:delete val="0"/>
        <c:axPos val="l"/>
        <c:title>
          <c:tx>
            <c:rich>
              <a:bodyPr/>
              <a:lstStyle/>
              <a:p>
                <a:pPr lvl="0">
                  <a:defRPr b="0" sz="1400">
                    <a:solidFill>
                      <a:srgbClr val="000000"/>
                    </a:solidFill>
                    <a:latin typeface="+mn-lt"/>
                  </a:defRPr>
                </a:pPr>
                <a:r>
                  <a:rPr b="0" sz="1400">
                    <a:solidFill>
                      <a:srgbClr val="000000"/>
                    </a:solidFill>
                    <a:latin typeface="+mn-lt"/>
                  </a:rPr>
                  <a:t>System RAG</a:t>
                </a:r>
              </a:p>
            </c:rich>
          </c:tx>
          <c:overlay val="0"/>
        </c:title>
        <c:numFmt formatCode="General" sourceLinked="1"/>
        <c:majorTickMark val="none"/>
        <c:minorTickMark val="none"/>
        <c:spPr/>
        <c:txPr>
          <a:bodyPr/>
          <a:lstStyle/>
          <a:p>
            <a:pPr lvl="0">
              <a:defRPr b="0">
                <a:solidFill>
                  <a:srgbClr val="000000"/>
                </a:solidFill>
                <a:latin typeface="+mn-lt"/>
              </a:defRPr>
            </a:pPr>
          </a:p>
        </c:txPr>
        <c:crossAx val="1251934201"/>
      </c:catAx>
      <c:valAx>
        <c:axId val="1251934201"/>
        <c:scaling>
          <c:orientation val="minMax"/>
          <c:max val="17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Tokeny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6272232"/>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Średni czas generowania odpowiedzi w zależności od systemu RAG dla danych nieustrukturyzowanych</a:t>
            </a:r>
          </a:p>
        </c:rich>
      </c:tx>
      <c:layout>
        <c:manualLayout>
          <c:xMode val="edge"/>
          <c:yMode val="edge"/>
          <c:x val="0.03220720720720721"/>
          <c:y val="0.028260869565217395"/>
        </c:manualLayout>
      </c:layout>
      <c:overlay val="0"/>
    </c:title>
    <c:plotArea>
      <c:layout>
        <c:manualLayout>
          <c:xMode val="edge"/>
          <c:yMode val="edge"/>
          <c:x val="0.22862383868243247"/>
          <c:y val="0.12590579710144928"/>
          <c:w val="0.7402950802364864"/>
          <c:h val="0.7371376811594202"/>
        </c:manualLayout>
      </c:layout>
      <c:barChart>
        <c:barDir val="bar"/>
        <c:ser>
          <c:idx val="0"/>
          <c:order val="0"/>
          <c:tx>
            <c:strRef>
              <c:f>'Analiza wyników'!$D$1</c:f>
            </c:strRef>
          </c:tx>
          <c:spPr>
            <a:solidFill>
              <a:schemeClr val="accent1"/>
            </a:solidFill>
            <a:ln cmpd="sng">
              <a:solidFill>
                <a:srgbClr val="000000"/>
              </a:solidFill>
            </a:ln>
          </c:spPr>
          <c:dPt>
            <c:idx val="3"/>
          </c:dPt>
          <c:dLbls>
            <c:numFmt formatCode="General" sourceLinked="1"/>
            <c:txPr>
              <a:bodyPr/>
              <a:lstStyle/>
              <a:p>
                <a:pPr lvl="0">
                  <a:defRPr/>
                </a:pPr>
              </a:p>
            </c:txPr>
            <c:showLegendKey val="0"/>
            <c:showVal val="1"/>
            <c:showCatName val="0"/>
            <c:showSerName val="0"/>
            <c:showPercent val="0"/>
            <c:showBubbleSize val="0"/>
          </c:dLbls>
          <c:cat>
            <c:strRef>
              <c:f>'Analiza wyników'!$A$2:$A$21</c:f>
            </c:strRef>
          </c:cat>
          <c:val>
            <c:numRef>
              <c:f>'Analiza wyników'!$D$2:$D$21</c:f>
              <c:numCache/>
            </c:numRef>
          </c:val>
        </c:ser>
        <c:axId val="359881607"/>
        <c:axId val="2066809302"/>
      </c:barChart>
      <c:catAx>
        <c:axId val="359881607"/>
        <c:scaling>
          <c:orientation val="maxMin"/>
        </c:scaling>
        <c:delete val="0"/>
        <c:axPos val="l"/>
        <c:title>
          <c:tx>
            <c:rich>
              <a:bodyPr/>
              <a:lstStyle/>
              <a:p>
                <a:pPr lvl="0">
                  <a:defRPr b="0" sz="1400">
                    <a:solidFill>
                      <a:srgbClr val="000000"/>
                    </a:solidFill>
                    <a:latin typeface="+mn-lt"/>
                  </a:defRPr>
                </a:pPr>
                <a:r>
                  <a:rPr b="0" sz="1400">
                    <a:solidFill>
                      <a:srgbClr val="000000"/>
                    </a:solidFill>
                    <a:latin typeface="+mn-lt"/>
                  </a:rPr>
                  <a:t>System RAG</a:t>
                </a:r>
              </a:p>
            </c:rich>
          </c:tx>
          <c:layout>
            <c:manualLayout>
              <c:xMode val="edge"/>
              <c:yMode val="edge"/>
              <c:x val="0.031081081081081083"/>
              <c:y val="0.11775362318840579"/>
            </c:manualLayout>
          </c:layout>
          <c:overlay val="0"/>
        </c:title>
        <c:numFmt formatCode="General" sourceLinked="1"/>
        <c:majorTickMark val="none"/>
        <c:minorTickMark val="none"/>
        <c:spPr/>
        <c:txPr>
          <a:bodyPr/>
          <a:lstStyle/>
          <a:p>
            <a:pPr lvl="0">
              <a:defRPr b="0">
                <a:solidFill>
                  <a:srgbClr val="000000"/>
                </a:solidFill>
                <a:latin typeface="+mn-lt"/>
              </a:defRPr>
            </a:pPr>
          </a:p>
        </c:txPr>
        <c:crossAx val="2066809302"/>
      </c:catAx>
      <c:valAx>
        <c:axId val="2066809302"/>
        <c:scaling>
          <c:orientation val="minMax"/>
          <c:max val="7.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Czas [s]</a:t>
                </a:r>
              </a:p>
            </c:rich>
          </c:tx>
          <c:layout>
            <c:manualLayout>
              <c:xMode val="edge"/>
              <c:yMode val="edge"/>
              <c:x val="0.22862383868243244"/>
              <c:y val="0.9264492753623188"/>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9881607"/>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Średnia przepustowość w zależności od systemu RAG dla danych nieustrukturyzowanych</a:t>
            </a:r>
          </a:p>
        </c:rich>
      </c:tx>
      <c:layout>
        <c:manualLayout>
          <c:xMode val="edge"/>
          <c:yMode val="edge"/>
          <c:x val="0.03671497584541063"/>
          <c:y val="0.028102189781021903"/>
        </c:manualLayout>
      </c:layout>
      <c:overlay val="0"/>
    </c:title>
    <c:plotArea>
      <c:layout>
        <c:manualLayout>
          <c:xMode val="edge"/>
          <c:yMode val="edge"/>
          <c:x val="0.2509878849637681"/>
          <c:y val="0.11770072992700735"/>
          <c:w val="0.7159203275966184"/>
          <c:h val="0.7445255474452555"/>
        </c:manualLayout>
      </c:layout>
      <c:barChart>
        <c:barDir val="bar"/>
        <c:ser>
          <c:idx val="0"/>
          <c:order val="0"/>
          <c:tx>
            <c:strRef>
              <c:f>'Analiza wyników'!$E$1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'Analiza wyników'!$A$2:$A$21</c:f>
            </c:strRef>
          </c:cat>
          <c:val>
            <c:numRef>
              <c:f>'Analiza wyników'!$E$2:$E$21</c:f>
              <c:numCache/>
            </c:numRef>
          </c:val>
        </c:ser>
        <c:axId val="562022434"/>
        <c:axId val="2030337418"/>
      </c:barChart>
      <c:catAx>
        <c:axId val="562022434"/>
        <c:scaling>
          <c:orientation val="maxMin"/>
        </c:scaling>
        <c:delete val="0"/>
        <c:axPos val="l"/>
        <c:title>
          <c:tx>
            <c:rich>
              <a:bodyPr/>
              <a:lstStyle/>
              <a:p>
                <a:pPr lvl="0">
                  <a:defRPr b="0" sz="1400">
                    <a:solidFill>
                      <a:srgbClr val="000000"/>
                    </a:solidFill>
                    <a:latin typeface="+mn-lt"/>
                  </a:defRPr>
                </a:pPr>
                <a:r>
                  <a:rPr b="0" sz="1400">
                    <a:solidFill>
                      <a:srgbClr val="000000"/>
                    </a:solidFill>
                    <a:latin typeface="+mn-lt"/>
                  </a:rPr>
                  <a:t>System RAG</a:t>
                </a:r>
              </a:p>
            </c:rich>
          </c:tx>
          <c:overlay val="0"/>
        </c:title>
        <c:numFmt formatCode="General" sourceLinked="1"/>
        <c:majorTickMark val="none"/>
        <c:minorTickMark val="none"/>
        <c:spPr/>
        <c:txPr>
          <a:bodyPr/>
          <a:lstStyle/>
          <a:p>
            <a:pPr lvl="0">
              <a:defRPr b="0">
                <a:solidFill>
                  <a:srgbClr val="000000"/>
                </a:solidFill>
                <a:latin typeface="+mn-lt"/>
              </a:defRPr>
            </a:pPr>
          </a:p>
        </c:txPr>
        <c:crossAx val="2030337418"/>
      </c:catAx>
      <c:valAx>
        <c:axId val="2030337418"/>
        <c:scaling>
          <c:orientation val="minMax"/>
          <c:max val="7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Przepustowość [tok/s]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2022434"/>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647700</xdr:colOff>
      <xdr:row>0</xdr:row>
      <xdr:rowOff>114300</xdr:rowOff>
    </xdr:from>
    <xdr:ext cx="8458200" cy="5343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209550</xdr:colOff>
      <xdr:row>24</xdr:row>
      <xdr:rowOff>66675</xdr:rowOff>
    </xdr:from>
    <xdr:ext cx="7886700" cy="54292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695325</xdr:colOff>
      <xdr:row>28</xdr:row>
      <xdr:rowOff>123825</xdr:rowOff>
    </xdr:from>
    <xdr:ext cx="8458200" cy="52578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209550</xdr:colOff>
      <xdr:row>52</xdr:row>
      <xdr:rowOff>161925</xdr:rowOff>
    </xdr:from>
    <xdr:ext cx="7886700" cy="61817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13"/>
    <col customWidth="1" min="2" max="2" width="5.63"/>
    <col customWidth="1" min="3" max="3" width="53.38"/>
    <col customWidth="1" min="4" max="4" width="31.38"/>
    <col customWidth="1" min="5" max="5" width="27.25"/>
    <col customWidth="1" min="6" max="6" width="25.63"/>
    <col customWidth="1" min="7" max="7" width="25.88"/>
    <col customWidth="1" min="8" max="8" width="34.13"/>
    <col customWidth="1" min="9" max="9" width="24.75"/>
    <col customWidth="1" min="10" max="10" width="30.63"/>
    <col customWidth="1" min="11" max="11" width="28.13"/>
    <col customWidth="1" min="12" max="12" width="32.13"/>
    <col customWidth="1" min="13" max="13" width="26.13"/>
    <col customWidth="1" min="14" max="14" width="28.63"/>
    <col customWidth="1" min="15" max="15" width="35.25"/>
    <col customWidth="1" min="16" max="16" width="35.0"/>
    <col customWidth="1" min="17" max="17" width="29.38"/>
    <col customWidth="1" min="18" max="18" width="25.88"/>
    <col customWidth="1" min="19" max="20" width="23.88"/>
    <col customWidth="1" min="21" max="21" width="28.38"/>
    <col customWidth="1" min="22" max="22" width="27.75"/>
    <col customWidth="1" min="23" max="23" width="24.25"/>
  </cols>
  <sheetData>
    <row r="1" ht="32.25" customHeight="1">
      <c r="A1" s="1" t="s">
        <v>0</v>
      </c>
      <c r="B1" s="2" t="s">
        <v>1</v>
      </c>
      <c r="C1" s="1" t="s">
        <v>2</v>
      </c>
      <c r="D1" s="3" t="s">
        <v>3</v>
      </c>
      <c r="E1" s="3" t="s">
        <v>4</v>
      </c>
      <c r="F1" s="3" t="s">
        <v>5</v>
      </c>
      <c r="G1" s="3" t="s">
        <v>6</v>
      </c>
      <c r="H1" s="4" t="s">
        <v>7</v>
      </c>
      <c r="I1" s="4" t="s">
        <v>8</v>
      </c>
      <c r="J1" s="4" t="s">
        <v>9</v>
      </c>
      <c r="K1" s="4" t="s">
        <v>10</v>
      </c>
      <c r="L1" s="5" t="s">
        <v>11</v>
      </c>
      <c r="M1" s="5" t="s">
        <v>12</v>
      </c>
      <c r="N1" s="5" t="s">
        <v>13</v>
      </c>
      <c r="O1" s="5" t="s">
        <v>14</v>
      </c>
      <c r="P1" s="6" t="s">
        <v>15</v>
      </c>
      <c r="Q1" s="6" t="s">
        <v>16</v>
      </c>
      <c r="R1" s="6" t="s">
        <v>17</v>
      </c>
      <c r="S1" s="6" t="s">
        <v>18</v>
      </c>
      <c r="T1" s="7" t="s">
        <v>19</v>
      </c>
      <c r="U1" s="7" t="s">
        <v>20</v>
      </c>
      <c r="V1" s="7" t="s">
        <v>21</v>
      </c>
      <c r="W1" s="7" t="s">
        <v>22</v>
      </c>
      <c r="X1" s="8"/>
      <c r="Y1" s="8"/>
      <c r="Z1" s="8"/>
      <c r="AA1" s="8"/>
      <c r="AB1" s="8"/>
      <c r="AC1" s="8"/>
      <c r="AD1" s="8"/>
      <c r="AE1" s="8"/>
    </row>
    <row r="2">
      <c r="A2" s="9" t="s">
        <v>23</v>
      </c>
      <c r="B2" s="10">
        <v>1.0</v>
      </c>
      <c r="C2" s="11" t="s">
        <v>24</v>
      </c>
      <c r="D2" s="12" t="s">
        <v>25</v>
      </c>
      <c r="E2" s="13" t="s">
        <v>26</v>
      </c>
      <c r="F2" s="13" t="s">
        <v>27</v>
      </c>
      <c r="G2" s="14" t="s">
        <v>28</v>
      </c>
      <c r="H2" s="12" t="s">
        <v>29</v>
      </c>
      <c r="I2" s="13" t="s">
        <v>30</v>
      </c>
      <c r="J2" s="13" t="s">
        <v>31</v>
      </c>
      <c r="K2" s="14" t="s">
        <v>32</v>
      </c>
      <c r="L2" s="12" t="s">
        <v>33</v>
      </c>
      <c r="M2" s="13" t="s">
        <v>34</v>
      </c>
      <c r="N2" s="13" t="s">
        <v>35</v>
      </c>
      <c r="O2" s="14" t="s">
        <v>36</v>
      </c>
      <c r="P2" s="12" t="s">
        <v>37</v>
      </c>
      <c r="Q2" s="13" t="s">
        <v>38</v>
      </c>
      <c r="R2" s="13" t="s">
        <v>39</v>
      </c>
      <c r="S2" s="14" t="s">
        <v>40</v>
      </c>
      <c r="T2" s="12" t="s">
        <v>41</v>
      </c>
      <c r="U2" s="13" t="s">
        <v>42</v>
      </c>
      <c r="V2" s="13" t="s">
        <v>42</v>
      </c>
      <c r="W2" s="14" t="s">
        <v>42</v>
      </c>
      <c r="X2" s="8"/>
      <c r="Y2" s="8"/>
      <c r="Z2" s="8"/>
      <c r="AA2" s="8"/>
      <c r="AB2" s="8"/>
      <c r="AC2" s="8"/>
      <c r="AD2" s="8"/>
      <c r="AE2" s="8"/>
    </row>
    <row r="3">
      <c r="B3" s="10">
        <v>2.0</v>
      </c>
      <c r="C3" s="11" t="s">
        <v>43</v>
      </c>
      <c r="D3" s="15" t="s">
        <v>44</v>
      </c>
      <c r="E3" s="16" t="s">
        <v>45</v>
      </c>
      <c r="F3" s="17" t="s">
        <v>46</v>
      </c>
      <c r="G3" s="18" t="s">
        <v>47</v>
      </c>
      <c r="H3" s="15" t="s">
        <v>48</v>
      </c>
      <c r="I3" s="17" t="s">
        <v>49</v>
      </c>
      <c r="J3" s="17" t="s">
        <v>50</v>
      </c>
      <c r="K3" s="19" t="s">
        <v>51</v>
      </c>
      <c r="L3" s="15" t="s">
        <v>52</v>
      </c>
      <c r="M3" s="17" t="s">
        <v>53</v>
      </c>
      <c r="N3" s="17" t="s">
        <v>54</v>
      </c>
      <c r="O3" s="19" t="s">
        <v>55</v>
      </c>
      <c r="P3" s="15" t="s">
        <v>56</v>
      </c>
      <c r="Q3" s="17" t="s">
        <v>57</v>
      </c>
      <c r="R3" s="17" t="s">
        <v>58</v>
      </c>
      <c r="S3" s="19" t="s">
        <v>59</v>
      </c>
      <c r="T3" s="15" t="s">
        <v>60</v>
      </c>
      <c r="U3" s="17" t="s">
        <v>61</v>
      </c>
      <c r="V3" s="17" t="s">
        <v>62</v>
      </c>
      <c r="W3" s="19" t="s">
        <v>63</v>
      </c>
      <c r="X3" s="8"/>
      <c r="Y3" s="8"/>
      <c r="Z3" s="8"/>
      <c r="AA3" s="8"/>
      <c r="AB3" s="8"/>
      <c r="AC3" s="8"/>
      <c r="AD3" s="8"/>
      <c r="AE3" s="8"/>
    </row>
    <row r="4">
      <c r="A4" s="9" t="s">
        <v>64</v>
      </c>
      <c r="B4" s="10">
        <v>3.0</v>
      </c>
      <c r="C4" s="11" t="s">
        <v>65</v>
      </c>
      <c r="D4" s="20" t="s">
        <v>66</v>
      </c>
      <c r="E4" s="17" t="s">
        <v>67</v>
      </c>
      <c r="F4" s="16" t="s">
        <v>68</v>
      </c>
      <c r="G4" s="19" t="s">
        <v>69</v>
      </c>
      <c r="H4" s="20" t="s">
        <v>70</v>
      </c>
      <c r="I4" s="17" t="s">
        <v>71</v>
      </c>
      <c r="J4" s="17" t="s">
        <v>72</v>
      </c>
      <c r="K4" s="19" t="s">
        <v>73</v>
      </c>
      <c r="L4" s="20" t="s">
        <v>74</v>
      </c>
      <c r="M4" s="17" t="s">
        <v>75</v>
      </c>
      <c r="N4" s="17" t="s">
        <v>76</v>
      </c>
      <c r="O4" s="19" t="s">
        <v>77</v>
      </c>
      <c r="P4" s="20" t="s">
        <v>78</v>
      </c>
      <c r="Q4" s="17" t="s">
        <v>79</v>
      </c>
      <c r="R4" s="17" t="s">
        <v>80</v>
      </c>
      <c r="S4" s="19" t="s">
        <v>81</v>
      </c>
      <c r="T4" s="20" t="s">
        <v>82</v>
      </c>
      <c r="U4" s="17" t="s">
        <v>83</v>
      </c>
      <c r="V4" s="17" t="s">
        <v>84</v>
      </c>
      <c r="W4" s="19" t="s">
        <v>85</v>
      </c>
      <c r="X4" s="8"/>
      <c r="Y4" s="8"/>
      <c r="Z4" s="8"/>
      <c r="AA4" s="8"/>
      <c r="AB4" s="8"/>
      <c r="AC4" s="8"/>
      <c r="AD4" s="8"/>
      <c r="AE4" s="8"/>
    </row>
    <row r="5">
      <c r="B5" s="10">
        <v>4.0</v>
      </c>
      <c r="C5" s="11" t="s">
        <v>86</v>
      </c>
      <c r="D5" s="20" t="s">
        <v>87</v>
      </c>
      <c r="E5" s="17" t="s">
        <v>88</v>
      </c>
      <c r="F5" s="17" t="s">
        <v>89</v>
      </c>
      <c r="G5" s="19" t="s">
        <v>90</v>
      </c>
      <c r="H5" s="20" t="s">
        <v>91</v>
      </c>
      <c r="I5" s="17" t="s">
        <v>92</v>
      </c>
      <c r="J5" s="17" t="s">
        <v>93</v>
      </c>
      <c r="K5" s="19" t="s">
        <v>94</v>
      </c>
      <c r="L5" s="20" t="s">
        <v>95</v>
      </c>
      <c r="M5" s="17" t="s">
        <v>96</v>
      </c>
      <c r="N5" s="17" t="s">
        <v>97</v>
      </c>
      <c r="O5" s="19" t="s">
        <v>98</v>
      </c>
      <c r="P5" s="20" t="s">
        <v>99</v>
      </c>
      <c r="Q5" s="17" t="s">
        <v>100</v>
      </c>
      <c r="R5" s="17" t="s">
        <v>101</v>
      </c>
      <c r="S5" s="19" t="s">
        <v>102</v>
      </c>
      <c r="T5" s="20" t="s">
        <v>103</v>
      </c>
      <c r="U5" s="17" t="s">
        <v>104</v>
      </c>
      <c r="V5" s="17" t="s">
        <v>105</v>
      </c>
      <c r="W5" s="19" t="s">
        <v>106</v>
      </c>
      <c r="X5" s="8"/>
      <c r="Y5" s="8"/>
      <c r="Z5" s="8"/>
      <c r="AA5" s="8"/>
      <c r="AB5" s="8"/>
      <c r="AC5" s="8"/>
      <c r="AD5" s="8"/>
      <c r="AE5" s="8"/>
    </row>
    <row r="6">
      <c r="A6" s="9" t="s">
        <v>107</v>
      </c>
      <c r="B6" s="10">
        <v>5.0</v>
      </c>
      <c r="C6" s="11" t="s">
        <v>108</v>
      </c>
      <c r="D6" s="20" t="s">
        <v>109</v>
      </c>
      <c r="E6" s="17" t="s">
        <v>110</v>
      </c>
      <c r="F6" s="17" t="s">
        <v>111</v>
      </c>
      <c r="G6" s="19" t="s">
        <v>112</v>
      </c>
      <c r="H6" s="20" t="s">
        <v>113</v>
      </c>
      <c r="I6" s="17" t="s">
        <v>114</v>
      </c>
      <c r="J6" s="17" t="s">
        <v>115</v>
      </c>
      <c r="K6" s="19" t="s">
        <v>116</v>
      </c>
      <c r="L6" s="20" t="s">
        <v>117</v>
      </c>
      <c r="M6" s="17" t="s">
        <v>118</v>
      </c>
      <c r="N6" s="17" t="s">
        <v>119</v>
      </c>
      <c r="O6" s="19" t="s">
        <v>120</v>
      </c>
      <c r="P6" s="20" t="s">
        <v>121</v>
      </c>
      <c r="Q6" s="17" t="s">
        <v>122</v>
      </c>
      <c r="R6" s="17" t="s">
        <v>123</v>
      </c>
      <c r="S6" s="19" t="s">
        <v>124</v>
      </c>
      <c r="T6" s="20" t="s">
        <v>125</v>
      </c>
      <c r="U6" s="17" t="s">
        <v>126</v>
      </c>
      <c r="V6" s="17" t="s">
        <v>127</v>
      </c>
      <c r="W6" s="19" t="s">
        <v>128</v>
      </c>
      <c r="X6" s="8"/>
      <c r="Y6" s="8"/>
      <c r="Z6" s="8"/>
      <c r="AA6" s="8"/>
      <c r="AB6" s="8"/>
      <c r="AC6" s="8"/>
      <c r="AD6" s="8"/>
      <c r="AE6" s="8"/>
    </row>
    <row r="7">
      <c r="B7" s="10">
        <v>6.0</v>
      </c>
      <c r="C7" s="11" t="s">
        <v>129</v>
      </c>
      <c r="D7" s="20" t="s">
        <v>130</v>
      </c>
      <c r="E7" s="17" t="s">
        <v>131</v>
      </c>
      <c r="F7" s="17" t="s">
        <v>132</v>
      </c>
      <c r="G7" s="19" t="s">
        <v>133</v>
      </c>
      <c r="H7" s="20" t="s">
        <v>134</v>
      </c>
      <c r="I7" s="17" t="s">
        <v>135</v>
      </c>
      <c r="J7" s="17" t="s">
        <v>136</v>
      </c>
      <c r="K7" s="19" t="s">
        <v>137</v>
      </c>
      <c r="L7" s="20" t="s">
        <v>138</v>
      </c>
      <c r="M7" s="17" t="s">
        <v>139</v>
      </c>
      <c r="N7" s="17" t="s">
        <v>140</v>
      </c>
      <c r="O7" s="19" t="s">
        <v>141</v>
      </c>
      <c r="P7" s="20" t="s">
        <v>142</v>
      </c>
      <c r="Q7" s="17" t="s">
        <v>143</v>
      </c>
      <c r="R7" s="17" t="s">
        <v>144</v>
      </c>
      <c r="S7" s="19" t="s">
        <v>145</v>
      </c>
      <c r="T7" s="20" t="s">
        <v>146</v>
      </c>
      <c r="U7" s="17" t="s">
        <v>147</v>
      </c>
      <c r="V7" s="17" t="s">
        <v>148</v>
      </c>
      <c r="W7" s="19" t="s">
        <v>149</v>
      </c>
      <c r="X7" s="8"/>
      <c r="Y7" s="8"/>
      <c r="Z7" s="8"/>
      <c r="AA7" s="8"/>
      <c r="AB7" s="8"/>
      <c r="AC7" s="8"/>
      <c r="AD7" s="8"/>
      <c r="AE7" s="8"/>
    </row>
    <row r="8">
      <c r="A8" s="9" t="s">
        <v>150</v>
      </c>
      <c r="B8" s="10">
        <v>7.0</v>
      </c>
      <c r="C8" s="11" t="s">
        <v>151</v>
      </c>
      <c r="D8" s="20" t="s">
        <v>152</v>
      </c>
      <c r="E8" s="17" t="s">
        <v>152</v>
      </c>
      <c r="F8" s="17" t="s">
        <v>152</v>
      </c>
      <c r="G8" s="19" t="s">
        <v>152</v>
      </c>
      <c r="H8" s="20" t="s">
        <v>153</v>
      </c>
      <c r="I8" s="17" t="s">
        <v>154</v>
      </c>
      <c r="J8" s="17" t="s">
        <v>155</v>
      </c>
      <c r="K8" s="19" t="s">
        <v>156</v>
      </c>
      <c r="L8" s="20" t="s">
        <v>157</v>
      </c>
      <c r="M8" s="17" t="s">
        <v>158</v>
      </c>
      <c r="N8" s="17" t="s">
        <v>159</v>
      </c>
      <c r="O8" s="19" t="s">
        <v>160</v>
      </c>
      <c r="P8" s="20" t="s">
        <v>161</v>
      </c>
      <c r="Q8" s="17" t="s">
        <v>162</v>
      </c>
      <c r="R8" s="17" t="s">
        <v>163</v>
      </c>
      <c r="S8" s="19" t="s">
        <v>164</v>
      </c>
      <c r="T8" s="20" t="s">
        <v>152</v>
      </c>
      <c r="U8" s="17" t="s">
        <v>152</v>
      </c>
      <c r="V8" s="17" t="s">
        <v>152</v>
      </c>
      <c r="W8" s="19" t="s">
        <v>152</v>
      </c>
      <c r="X8" s="8"/>
      <c r="Y8" s="8"/>
      <c r="Z8" s="8"/>
      <c r="AA8" s="8"/>
      <c r="AB8" s="8"/>
      <c r="AC8" s="8"/>
      <c r="AD8" s="8"/>
      <c r="AE8" s="8"/>
    </row>
    <row r="9">
      <c r="B9" s="10">
        <v>8.0</v>
      </c>
      <c r="C9" s="11" t="s">
        <v>165</v>
      </c>
      <c r="D9" s="21" t="s">
        <v>152</v>
      </c>
      <c r="E9" s="22" t="s">
        <v>152</v>
      </c>
      <c r="F9" s="22" t="s">
        <v>152</v>
      </c>
      <c r="G9" s="23" t="s">
        <v>152</v>
      </c>
      <c r="H9" s="21" t="s">
        <v>166</v>
      </c>
      <c r="I9" s="22" t="s">
        <v>167</v>
      </c>
      <c r="J9" s="22" t="s">
        <v>168</v>
      </c>
      <c r="K9" s="23" t="s">
        <v>169</v>
      </c>
      <c r="L9" s="21" t="s">
        <v>170</v>
      </c>
      <c r="M9" s="22" t="s">
        <v>171</v>
      </c>
      <c r="N9" s="22" t="s">
        <v>172</v>
      </c>
      <c r="O9" s="23" t="s">
        <v>173</v>
      </c>
      <c r="P9" s="21" t="s">
        <v>174</v>
      </c>
      <c r="Q9" s="22" t="s">
        <v>175</v>
      </c>
      <c r="R9" s="22" t="s">
        <v>176</v>
      </c>
      <c r="S9" s="23" t="s">
        <v>177</v>
      </c>
      <c r="T9" s="21" t="s">
        <v>152</v>
      </c>
      <c r="U9" s="22" t="s">
        <v>152</v>
      </c>
      <c r="V9" s="22" t="s">
        <v>152</v>
      </c>
      <c r="W9" s="23" t="s">
        <v>152</v>
      </c>
      <c r="X9" s="8"/>
      <c r="Y9" s="8"/>
      <c r="Z9" s="8"/>
      <c r="AA9" s="8"/>
      <c r="AB9" s="8"/>
      <c r="AC9" s="8"/>
      <c r="AD9" s="8"/>
      <c r="AE9" s="8"/>
    </row>
    <row r="10">
      <c r="A10" s="8"/>
      <c r="B10" s="8"/>
      <c r="C10" s="8"/>
      <c r="D10" s="8"/>
      <c r="E10" s="24"/>
      <c r="F10" s="8"/>
      <c r="G10" s="8"/>
      <c r="H10" s="17"/>
      <c r="I10" s="24"/>
      <c r="J10" s="8"/>
      <c r="K10" s="8"/>
      <c r="L10" s="8"/>
      <c r="M10" s="8"/>
      <c r="N10" s="8"/>
      <c r="O10" s="8"/>
      <c r="P10" s="8"/>
      <c r="Q10" s="8"/>
      <c r="R10" s="8"/>
      <c r="S10" s="8"/>
      <c r="T10" s="8"/>
      <c r="U10" s="8"/>
      <c r="V10" s="8"/>
      <c r="W10" s="8"/>
      <c r="X10" s="8"/>
      <c r="Y10" s="8"/>
      <c r="Z10" s="8"/>
      <c r="AA10" s="8"/>
      <c r="AB10" s="8"/>
      <c r="AC10" s="8"/>
      <c r="AD10" s="8"/>
      <c r="AE10" s="8"/>
    </row>
    <row r="11">
      <c r="A11" s="25" t="s">
        <v>178</v>
      </c>
      <c r="B11" s="26">
        <f>COUNTBLANK(D2:W9)</f>
        <v>0</v>
      </c>
      <c r="C11" s="8"/>
      <c r="D11" s="8"/>
      <c r="E11" s="8"/>
      <c r="F11" s="8"/>
      <c r="G11" s="8"/>
      <c r="H11" s="8"/>
      <c r="I11" s="8"/>
      <c r="J11" s="8"/>
      <c r="L11" s="17"/>
      <c r="M11" s="8"/>
      <c r="N11" s="8"/>
      <c r="O11" s="8"/>
      <c r="P11" s="8"/>
      <c r="Q11" s="8"/>
      <c r="R11" s="8"/>
      <c r="S11" s="8"/>
      <c r="T11" s="8"/>
      <c r="U11" s="8"/>
      <c r="V11" s="8"/>
      <c r="W11" s="8"/>
      <c r="X11" s="8"/>
      <c r="Y11" s="8"/>
      <c r="Z11" s="8"/>
      <c r="AA11" s="8"/>
      <c r="AB11" s="8"/>
      <c r="AC11" s="8"/>
      <c r="AD11" s="8"/>
      <c r="AE11" s="8"/>
    </row>
    <row r="12">
      <c r="A12" s="8"/>
      <c r="B12" s="8"/>
      <c r="C12" s="8"/>
      <c r="D12" s="8"/>
      <c r="E12" s="8"/>
      <c r="F12" s="8"/>
      <c r="G12" s="8"/>
      <c r="H12" s="17"/>
      <c r="I12" s="8"/>
      <c r="J12" s="8"/>
      <c r="K12" s="8"/>
      <c r="L12" s="8"/>
      <c r="M12" s="8"/>
      <c r="N12" s="8"/>
      <c r="P12" s="17"/>
      <c r="Q12" s="8"/>
      <c r="R12" s="8"/>
      <c r="S12" s="8"/>
      <c r="T12" s="8"/>
      <c r="U12" s="8"/>
      <c r="V12" s="8"/>
      <c r="W12" s="8"/>
      <c r="X12" s="8"/>
      <c r="Y12" s="8"/>
      <c r="Z12" s="8"/>
      <c r="AA12" s="8"/>
      <c r="AB12" s="8"/>
      <c r="AC12" s="8"/>
      <c r="AD12" s="8"/>
      <c r="AE12" s="8"/>
    </row>
    <row r="13">
      <c r="A13" s="8"/>
      <c r="B13" s="8"/>
      <c r="C13" s="8"/>
      <c r="D13" s="17"/>
      <c r="E13" s="8"/>
      <c r="F13" s="8"/>
      <c r="G13" s="8"/>
      <c r="H13" s="8"/>
      <c r="I13" s="8"/>
      <c r="J13" s="8"/>
      <c r="K13" s="8"/>
      <c r="L13" s="8"/>
      <c r="M13" s="8"/>
      <c r="N13" s="8"/>
      <c r="O13" s="8"/>
      <c r="P13" s="8"/>
      <c r="Q13" s="8"/>
      <c r="R13" s="8"/>
      <c r="T13" s="8"/>
      <c r="U13" s="8"/>
      <c r="V13" s="8"/>
      <c r="W13" s="8"/>
      <c r="X13" s="8"/>
      <c r="Y13" s="8"/>
      <c r="Z13" s="8"/>
      <c r="AA13" s="8"/>
      <c r="AB13" s="8"/>
      <c r="AC13" s="8"/>
      <c r="AD13" s="8"/>
      <c r="AE13" s="8"/>
    </row>
    <row r="14">
      <c r="A14" s="8"/>
      <c r="B14" s="8"/>
      <c r="C14" s="8"/>
      <c r="D14" s="17"/>
      <c r="E14" s="8"/>
      <c r="F14" s="8"/>
      <c r="G14" s="8"/>
      <c r="H14" s="8"/>
      <c r="I14" s="8"/>
      <c r="J14" s="8"/>
      <c r="K14" s="8"/>
      <c r="L14" s="8"/>
      <c r="M14" s="8"/>
      <c r="N14" s="8"/>
      <c r="O14" s="8"/>
      <c r="P14" s="8"/>
      <c r="Q14" s="8"/>
      <c r="R14" s="8"/>
      <c r="S14" s="8"/>
      <c r="T14" s="8"/>
      <c r="U14" s="8"/>
      <c r="V14" s="8"/>
      <c r="X14" s="8"/>
      <c r="Y14" s="8"/>
      <c r="Z14" s="8"/>
      <c r="AA14" s="8"/>
      <c r="AB14" s="8"/>
      <c r="AC14" s="8"/>
      <c r="AD14" s="8"/>
      <c r="AE14" s="8"/>
    </row>
    <row r="15">
      <c r="A15" s="8"/>
      <c r="B15" s="8"/>
      <c r="C15" s="8"/>
      <c r="D15" s="8"/>
      <c r="E15" s="8"/>
      <c r="F15" s="8"/>
      <c r="G15" s="8"/>
      <c r="H15" s="9"/>
      <c r="I15" s="9"/>
      <c r="J15" s="9"/>
      <c r="K15" s="9"/>
      <c r="L15" s="9"/>
      <c r="M15" s="9"/>
      <c r="N15" s="9"/>
      <c r="O15" s="9"/>
      <c r="P15" s="8"/>
      <c r="Q15" s="8"/>
      <c r="R15" s="8"/>
      <c r="S15" s="8"/>
      <c r="T15" s="8"/>
      <c r="U15" s="8"/>
      <c r="V15" s="8"/>
      <c r="W15" s="8"/>
      <c r="X15" s="8"/>
      <c r="Y15" s="8"/>
      <c r="Z15" s="8"/>
      <c r="AA15" s="8"/>
      <c r="AB15" s="8"/>
      <c r="AC15" s="8"/>
      <c r="AD15" s="8"/>
      <c r="AE15" s="8"/>
    </row>
    <row r="16">
      <c r="A16" s="8"/>
      <c r="B16" s="8"/>
      <c r="C16" s="8"/>
      <c r="D16" s="17"/>
      <c r="E16" s="17"/>
      <c r="F16" s="17"/>
      <c r="G16" s="17"/>
      <c r="H16" s="8"/>
      <c r="I16" s="8"/>
      <c r="J16" s="8"/>
      <c r="L16" s="17"/>
      <c r="M16" s="17"/>
      <c r="N16" s="17"/>
      <c r="O16" s="17"/>
      <c r="P16" s="8"/>
      <c r="Q16" s="8"/>
      <c r="R16" s="8"/>
      <c r="S16" s="8"/>
      <c r="T16" s="8"/>
      <c r="U16" s="8"/>
      <c r="V16" s="8"/>
      <c r="W16" s="8"/>
      <c r="X16" s="8"/>
      <c r="Y16" s="8"/>
      <c r="Z16" s="8"/>
      <c r="AA16" s="8"/>
      <c r="AB16" s="8"/>
      <c r="AC16" s="8"/>
      <c r="AD16" s="8"/>
      <c r="AE16" s="8"/>
    </row>
    <row r="17">
      <c r="A17" s="8"/>
      <c r="B17" s="8"/>
      <c r="C17" s="8"/>
      <c r="D17" s="8"/>
      <c r="E17" s="8"/>
      <c r="F17" s="8"/>
      <c r="G17" s="8"/>
      <c r="H17" s="8"/>
      <c r="I17" s="8"/>
      <c r="J17" s="8"/>
      <c r="K17" s="8"/>
      <c r="L17" s="8"/>
      <c r="M17" s="8"/>
      <c r="N17" s="8"/>
      <c r="P17" s="8"/>
      <c r="Q17" s="8"/>
      <c r="R17" s="8"/>
      <c r="S17" s="8"/>
      <c r="T17" s="8"/>
      <c r="U17" s="8"/>
      <c r="V17" s="8"/>
      <c r="W17" s="8"/>
      <c r="X17" s="8"/>
      <c r="Y17" s="8"/>
      <c r="Z17" s="8"/>
      <c r="AA17" s="8"/>
      <c r="AB17" s="8"/>
      <c r="AC17" s="8"/>
      <c r="AD17" s="8"/>
      <c r="AE17" s="8"/>
    </row>
    <row r="18">
      <c r="A18" s="8"/>
      <c r="B18" s="8"/>
      <c r="C18" s="8"/>
      <c r="D18" s="8"/>
      <c r="E18" s="8"/>
      <c r="F18" s="8"/>
      <c r="G18" s="8"/>
      <c r="H18" s="8"/>
      <c r="I18" s="8"/>
      <c r="J18" s="8"/>
      <c r="K18" s="8"/>
      <c r="L18" s="8"/>
      <c r="M18" s="8"/>
      <c r="N18" s="8"/>
      <c r="O18" s="8"/>
      <c r="P18" s="8"/>
      <c r="Q18" s="8"/>
      <c r="R18" s="8"/>
      <c r="T18" s="8"/>
      <c r="U18" s="8"/>
      <c r="V18" s="8"/>
      <c r="W18" s="8"/>
      <c r="X18" s="8"/>
      <c r="Y18" s="8"/>
      <c r="Z18" s="8"/>
      <c r="AA18" s="8"/>
      <c r="AB18" s="8"/>
      <c r="AC18" s="8"/>
      <c r="AD18" s="8"/>
      <c r="AE18" s="8"/>
    </row>
    <row r="19">
      <c r="A19" s="8"/>
      <c r="B19" s="8"/>
      <c r="C19" s="8"/>
      <c r="D19" s="8"/>
      <c r="E19" s="8"/>
      <c r="F19" s="8"/>
      <c r="G19" s="8"/>
      <c r="H19" s="8"/>
      <c r="I19" s="8"/>
      <c r="J19" s="8"/>
      <c r="K19" s="8"/>
      <c r="L19" s="8"/>
      <c r="M19" s="8"/>
      <c r="N19" s="8"/>
      <c r="O19" s="8"/>
      <c r="P19" s="8"/>
      <c r="Q19" s="8"/>
      <c r="R19" s="8"/>
      <c r="S19" s="8"/>
      <c r="T19" s="8"/>
      <c r="U19" s="8"/>
      <c r="V19" s="8"/>
      <c r="X19" s="8"/>
      <c r="Y19" s="8"/>
      <c r="Z19" s="8"/>
      <c r="AA19" s="8"/>
      <c r="AB19" s="8"/>
      <c r="AC19" s="8"/>
      <c r="AD19" s="8"/>
      <c r="AE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row>
    <row r="23">
      <c r="A23" s="17"/>
      <c r="B23" s="17"/>
      <c r="C23" s="17"/>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row>
    <row r="24">
      <c r="A24" s="17"/>
      <c r="B24" s="17"/>
      <c r="C24" s="17"/>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row>
    <row r="25">
      <c r="A25" s="17"/>
      <c r="B25" s="17"/>
      <c r="C25" s="17"/>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row>
    <row r="26">
      <c r="A26" s="17"/>
      <c r="B26" s="17"/>
      <c r="C26" s="17"/>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row>
    <row r="27">
      <c r="A27" s="17"/>
      <c r="B27" s="17"/>
      <c r="C27" s="17"/>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row>
    <row r="28">
      <c r="A28" s="17"/>
      <c r="B28" s="17"/>
      <c r="C28" s="17"/>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c r="A31" s="8"/>
      <c r="B31" s="17"/>
      <c r="C31" s="17"/>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c r="AB1013" s="8"/>
      <c r="AC1013" s="8"/>
      <c r="AD1013" s="8"/>
      <c r="AE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c r="AB1014" s="8"/>
      <c r="AC1014" s="8"/>
      <c r="AD1014" s="8"/>
      <c r="AE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c r="AB1018" s="8"/>
      <c r="AC1018" s="8"/>
      <c r="AD1018" s="8"/>
      <c r="AE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c r="AB1019" s="8"/>
      <c r="AC1019" s="8"/>
      <c r="AD1019" s="8"/>
      <c r="AE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c r="AB1020" s="8"/>
      <c r="AC1020" s="8"/>
      <c r="AD1020" s="8"/>
      <c r="AE1020" s="8"/>
    </row>
    <row r="102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c r="AA1021" s="8"/>
      <c r="AB1021" s="8"/>
      <c r="AC1021" s="8"/>
      <c r="AD1021" s="8"/>
      <c r="AE1021" s="8"/>
    </row>
    <row r="102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c r="AB1022" s="8"/>
      <c r="AC1022" s="8"/>
      <c r="AD1022" s="8"/>
      <c r="AE1022" s="8"/>
    </row>
    <row r="102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c r="AA1023" s="8"/>
      <c r="AB1023" s="8"/>
      <c r="AC1023" s="8"/>
      <c r="AD1023" s="8"/>
      <c r="AE1023" s="8"/>
    </row>
    <row r="10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c r="AA1024" s="8"/>
      <c r="AB1024" s="8"/>
      <c r="AC1024" s="8"/>
      <c r="AD1024" s="8"/>
      <c r="AE1024" s="8"/>
    </row>
    <row r="1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c r="AA1025" s="8"/>
      <c r="AB1025" s="8"/>
      <c r="AC1025" s="8"/>
      <c r="AD1025" s="8"/>
      <c r="AE1025" s="8"/>
    </row>
    <row r="1026">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c r="AA1026" s="8"/>
      <c r="AB1026" s="8"/>
      <c r="AC1026" s="8"/>
      <c r="AD1026" s="8"/>
      <c r="AE1026" s="8"/>
    </row>
    <row r="1027">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c r="AA1027" s="8"/>
      <c r="AB1027" s="8"/>
      <c r="AC1027" s="8"/>
      <c r="AD1027" s="8"/>
      <c r="AE1027" s="8"/>
    </row>
    <row r="1028">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c r="AA1028" s="8"/>
      <c r="AB1028" s="8"/>
      <c r="AC1028" s="8"/>
      <c r="AD1028" s="8"/>
      <c r="AE1028" s="8"/>
    </row>
    <row r="1029">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c r="AA1029" s="8"/>
      <c r="AB1029" s="8"/>
      <c r="AC1029" s="8"/>
      <c r="AD1029" s="8"/>
      <c r="AE1029" s="8"/>
    </row>
    <row r="1030">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c r="AA1030" s="8"/>
      <c r="AB1030" s="8"/>
      <c r="AC1030" s="8"/>
      <c r="AD1030" s="8"/>
      <c r="AE1030" s="8"/>
    </row>
    <row r="1031">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c r="AA1031" s="8"/>
      <c r="AB1031" s="8"/>
      <c r="AC1031" s="8"/>
      <c r="AD1031" s="8"/>
      <c r="AE1031" s="8"/>
    </row>
    <row r="1032">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c r="AA1032" s="8"/>
      <c r="AB1032" s="8"/>
      <c r="AC1032" s="8"/>
      <c r="AD1032" s="8"/>
      <c r="AE1032" s="8"/>
    </row>
    <row r="1033">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c r="AA1033" s="8"/>
      <c r="AB1033" s="8"/>
      <c r="AC1033" s="8"/>
      <c r="AD1033" s="8"/>
      <c r="AE1033" s="8"/>
    </row>
    <row r="1034">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c r="AA1034" s="8"/>
      <c r="AB1034" s="8"/>
      <c r="AC1034" s="8"/>
      <c r="AD1034" s="8"/>
      <c r="AE1034" s="8"/>
    </row>
    <row r="1035">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c r="AA1035" s="8"/>
      <c r="AB1035" s="8"/>
      <c r="AC1035" s="8"/>
      <c r="AD1035" s="8"/>
      <c r="AE1035" s="8"/>
    </row>
    <row r="1036">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c r="AA1036" s="8"/>
      <c r="AB1036" s="8"/>
      <c r="AC1036" s="8"/>
      <c r="AD1036" s="8"/>
      <c r="AE1036" s="8"/>
    </row>
    <row r="1037">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c r="AA1037" s="8"/>
      <c r="AB1037" s="8"/>
      <c r="AC1037" s="8"/>
      <c r="AD1037" s="8"/>
      <c r="AE1037" s="8"/>
    </row>
    <row r="1038">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c r="AA1038" s="8"/>
      <c r="AB1038" s="8"/>
      <c r="AC1038" s="8"/>
      <c r="AD1038" s="8"/>
      <c r="AE1038" s="8"/>
    </row>
    <row r="1039">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c r="AA1039" s="8"/>
      <c r="AB1039" s="8"/>
      <c r="AC1039" s="8"/>
      <c r="AD1039" s="8"/>
      <c r="AE1039" s="8"/>
    </row>
    <row r="1040">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c r="AA1040" s="8"/>
      <c r="AB1040" s="8"/>
      <c r="AC1040" s="8"/>
      <c r="AD1040" s="8"/>
      <c r="AE1040" s="8"/>
    </row>
    <row r="1041">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c r="AA1041" s="8"/>
      <c r="AB1041" s="8"/>
      <c r="AC1041" s="8"/>
      <c r="AD1041" s="8"/>
      <c r="AE1041" s="8"/>
    </row>
    <row r="1042">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c r="AA1042" s="8"/>
      <c r="AB1042" s="8"/>
      <c r="AC1042" s="8"/>
      <c r="AD1042" s="8"/>
      <c r="AE1042" s="8"/>
    </row>
    <row r="1043">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c r="AA1043" s="8"/>
      <c r="AB1043" s="8"/>
      <c r="AC1043" s="8"/>
      <c r="AD1043" s="8"/>
      <c r="AE1043" s="8"/>
    </row>
    <row r="1044">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c r="Z1044" s="8"/>
      <c r="AA1044" s="8"/>
      <c r="AB1044" s="8"/>
      <c r="AC1044" s="8"/>
      <c r="AD1044" s="8"/>
      <c r="AE1044" s="8"/>
    </row>
    <row r="1045">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c r="AA1045" s="8"/>
      <c r="AB1045" s="8"/>
      <c r="AC1045" s="8"/>
      <c r="AD1045" s="8"/>
      <c r="AE1045" s="8"/>
    </row>
    <row r="1046">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c r="Z1046" s="8"/>
      <c r="AA1046" s="8"/>
      <c r="AB1046" s="8"/>
      <c r="AC1046" s="8"/>
      <c r="AD1046" s="8"/>
      <c r="AE1046" s="8"/>
    </row>
    <row r="1047">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c r="Z1047" s="8"/>
      <c r="AA1047" s="8"/>
      <c r="AB1047" s="8"/>
      <c r="AC1047" s="8"/>
      <c r="AD1047" s="8"/>
      <c r="AE1047" s="8"/>
    </row>
    <row r="1048">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c r="Z1048" s="8"/>
      <c r="AA1048" s="8"/>
      <c r="AB1048" s="8"/>
      <c r="AC1048" s="8"/>
      <c r="AD1048" s="8"/>
      <c r="AE1048" s="8"/>
    </row>
    <row r="1049">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c r="AA1049" s="8"/>
      <c r="AB1049" s="8"/>
      <c r="AC1049" s="8"/>
      <c r="AD1049" s="8"/>
      <c r="AE1049" s="8"/>
    </row>
    <row r="1050">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c r="Z1050" s="8"/>
      <c r="AA1050" s="8"/>
      <c r="AB1050" s="8"/>
      <c r="AC1050" s="8"/>
      <c r="AD1050" s="8"/>
      <c r="AE1050" s="8"/>
    </row>
    <row r="1051">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c r="Z1051" s="8"/>
      <c r="AA1051" s="8"/>
      <c r="AB1051" s="8"/>
      <c r="AC1051" s="8"/>
      <c r="AD1051" s="8"/>
      <c r="AE1051" s="8"/>
    </row>
    <row r="1052">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c r="Z1052" s="8"/>
      <c r="AA1052" s="8"/>
      <c r="AB1052" s="8"/>
      <c r="AC1052" s="8"/>
      <c r="AD1052" s="8"/>
      <c r="AE1052" s="8"/>
    </row>
    <row r="1053">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c r="Z1053" s="8"/>
      <c r="AA1053" s="8"/>
      <c r="AB1053" s="8"/>
      <c r="AC1053" s="8"/>
      <c r="AD1053" s="8"/>
      <c r="AE1053" s="8"/>
    </row>
    <row r="1054">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c r="Z1054" s="8"/>
      <c r="AA1054" s="8"/>
      <c r="AB1054" s="8"/>
      <c r="AC1054" s="8"/>
      <c r="AD1054" s="8"/>
      <c r="AE1054" s="8"/>
    </row>
    <row r="1055">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c r="Z1055" s="8"/>
      <c r="AA1055" s="8"/>
      <c r="AB1055" s="8"/>
      <c r="AC1055" s="8"/>
      <c r="AD1055" s="8"/>
      <c r="AE1055" s="8"/>
    </row>
    <row r="1056">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c r="Z1056" s="8"/>
      <c r="AA1056" s="8"/>
      <c r="AB1056" s="8"/>
      <c r="AC1056" s="8"/>
      <c r="AD1056" s="8"/>
      <c r="AE1056" s="8"/>
    </row>
    <row r="1057">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c r="AA1057" s="8"/>
      <c r="AB1057" s="8"/>
      <c r="AC1057" s="8"/>
      <c r="AD1057" s="8"/>
      <c r="AE1057" s="8"/>
    </row>
  </sheetData>
  <mergeCells count="4">
    <mergeCell ref="A2:A3"/>
    <mergeCell ref="A4:A5"/>
    <mergeCell ref="A6:A7"/>
    <mergeCell ref="A8:A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3.5"/>
    <col customWidth="1" hidden="1" min="2" max="2" width="5.5"/>
    <col customWidth="1" min="3" max="3" width="36.38"/>
    <col customWidth="1" min="4" max="4" width="14.63"/>
    <col customWidth="1" min="5" max="5" width="12.25"/>
    <col customWidth="1" min="6" max="6" width="10.75"/>
    <col customWidth="1" min="7" max="7" width="14.0"/>
    <col customWidth="1" min="8" max="8" width="11.63"/>
    <col customWidth="1" min="9" max="9" width="9.38"/>
    <col customWidth="1" min="10" max="10" width="14.75"/>
    <col customWidth="1" min="11" max="11" width="12.0"/>
    <col customWidth="1" min="12" max="12" width="9.13"/>
    <col customWidth="1" min="13" max="13" width="15.0"/>
    <col customWidth="1" min="14" max="14" width="12.13"/>
    <col customWidth="1" min="15" max="15" width="9.63"/>
    <col customWidth="1" min="16" max="16" width="15.13"/>
    <col customWidth="1" min="17" max="17" width="12.63"/>
    <col customWidth="1" min="18" max="18" width="8.38"/>
    <col customWidth="1" min="19" max="19" width="13.75"/>
    <col customWidth="1" min="20" max="20" width="11.0"/>
    <col customWidth="1" min="21" max="21" width="9.88"/>
    <col customWidth="1" min="22" max="22" width="15.13"/>
    <col customWidth="1" min="23" max="23" width="12.75"/>
    <col customWidth="1" min="24" max="24" width="9.63"/>
    <col customWidth="1" min="25" max="25" width="14.38"/>
    <col customWidth="1" min="27" max="27" width="10.0"/>
    <col customWidth="1" min="28" max="28" width="13.5"/>
    <col customWidth="1" min="29" max="29" width="12.5"/>
    <col customWidth="1" min="30" max="30" width="9.63"/>
    <col customWidth="1" min="31" max="31" width="14.75"/>
    <col customWidth="1" min="32" max="32" width="11.0"/>
    <col customWidth="1" min="33" max="33" width="9.25"/>
    <col customWidth="1" min="34" max="34" width="14.0"/>
    <col customWidth="1" min="35" max="35" width="12.25"/>
    <col customWidth="1" min="36" max="36" width="8.63"/>
    <col customWidth="1" min="37" max="37" width="14.0"/>
    <col customWidth="1" min="38" max="38" width="10.88"/>
    <col customWidth="1" min="39" max="39" width="9.13"/>
    <col customWidth="1" min="40" max="40" width="14.5"/>
    <col customWidth="1" min="41" max="41" width="11.13"/>
    <col customWidth="1" min="42" max="42" width="9.13"/>
    <col customWidth="1" min="43" max="43" width="14.0"/>
    <col customWidth="1" min="44" max="44" width="10.75"/>
    <col customWidth="1" min="45" max="45" width="9.75"/>
    <col customWidth="1" min="46" max="46" width="14.88"/>
    <col customWidth="1" min="47" max="47" width="12.13"/>
    <col customWidth="1" min="48" max="48" width="9.5"/>
    <col customWidth="1" min="49" max="49" width="14.38"/>
    <col customWidth="1" min="50" max="50" width="11.5"/>
    <col customWidth="1" min="51" max="51" width="9.63"/>
    <col customWidth="1" min="52" max="52" width="14.13"/>
    <col customWidth="1" min="53" max="53" width="11.25"/>
    <col customWidth="1" min="54" max="54" width="9.75"/>
    <col customWidth="1" min="55" max="55" width="13.88"/>
    <col customWidth="1" min="56" max="56" width="11.25"/>
    <col customWidth="1" min="57" max="57" width="9.63"/>
    <col customWidth="1" min="58" max="58" width="13.75"/>
    <col customWidth="1" min="59" max="59" width="11.63"/>
    <col customWidth="1" min="60" max="60" width="10.13"/>
    <col customWidth="1" min="61" max="61" width="13.88"/>
    <col customWidth="1" min="62" max="62" width="11.38"/>
    <col customWidth="1" min="63" max="63" width="9.25"/>
  </cols>
  <sheetData>
    <row r="1">
      <c r="A1" s="1" t="s">
        <v>0</v>
      </c>
      <c r="B1" s="2" t="s">
        <v>1</v>
      </c>
      <c r="C1" s="1" t="s">
        <v>2</v>
      </c>
      <c r="D1" s="3" t="s">
        <v>3</v>
      </c>
      <c r="G1" s="3" t="s">
        <v>4</v>
      </c>
      <c r="J1" s="3" t="s">
        <v>5</v>
      </c>
      <c r="M1" s="3" t="s">
        <v>6</v>
      </c>
      <c r="P1" s="4" t="s">
        <v>7</v>
      </c>
      <c r="S1" s="4" t="s">
        <v>8</v>
      </c>
      <c r="V1" s="4" t="s">
        <v>9</v>
      </c>
      <c r="Y1" s="4" t="s">
        <v>10</v>
      </c>
      <c r="AB1" s="5" t="s">
        <v>11</v>
      </c>
      <c r="AE1" s="5" t="s">
        <v>12</v>
      </c>
      <c r="AH1" s="5" t="s">
        <v>13</v>
      </c>
      <c r="AK1" s="5" t="s">
        <v>14</v>
      </c>
      <c r="AN1" s="6" t="s">
        <v>15</v>
      </c>
      <c r="AQ1" s="6" t="s">
        <v>16</v>
      </c>
      <c r="AT1" s="6" t="s">
        <v>17</v>
      </c>
      <c r="AW1" s="6" t="s">
        <v>18</v>
      </c>
      <c r="AZ1" s="7" t="s">
        <v>19</v>
      </c>
      <c r="BC1" s="7" t="s">
        <v>20</v>
      </c>
      <c r="BF1" s="7" t="s">
        <v>21</v>
      </c>
      <c r="BI1" s="7" t="s">
        <v>22</v>
      </c>
    </row>
    <row r="2">
      <c r="D2" s="27" t="s">
        <v>179</v>
      </c>
      <c r="E2" s="28" t="s">
        <v>180</v>
      </c>
      <c r="F2" s="29" t="s">
        <v>181</v>
      </c>
      <c r="G2" s="27" t="s">
        <v>179</v>
      </c>
      <c r="H2" s="28" t="s">
        <v>180</v>
      </c>
      <c r="I2" s="29" t="s">
        <v>181</v>
      </c>
      <c r="J2" s="27" t="s">
        <v>179</v>
      </c>
      <c r="K2" s="28" t="s">
        <v>180</v>
      </c>
      <c r="L2" s="29" t="s">
        <v>181</v>
      </c>
      <c r="M2" s="27" t="s">
        <v>179</v>
      </c>
      <c r="N2" s="28" t="s">
        <v>180</v>
      </c>
      <c r="O2" s="29" t="s">
        <v>181</v>
      </c>
      <c r="P2" s="27" t="s">
        <v>179</v>
      </c>
      <c r="Q2" s="28" t="s">
        <v>180</v>
      </c>
      <c r="R2" s="29" t="s">
        <v>181</v>
      </c>
      <c r="S2" s="27" t="s">
        <v>179</v>
      </c>
      <c r="T2" s="28" t="s">
        <v>180</v>
      </c>
      <c r="U2" s="29" t="s">
        <v>181</v>
      </c>
      <c r="V2" s="27" t="s">
        <v>179</v>
      </c>
      <c r="W2" s="28" t="s">
        <v>180</v>
      </c>
      <c r="X2" s="29" t="s">
        <v>181</v>
      </c>
      <c r="Y2" s="27" t="s">
        <v>179</v>
      </c>
      <c r="Z2" s="28" t="s">
        <v>180</v>
      </c>
      <c r="AA2" s="29" t="s">
        <v>181</v>
      </c>
      <c r="AB2" s="27" t="s">
        <v>179</v>
      </c>
      <c r="AC2" s="28" t="s">
        <v>180</v>
      </c>
      <c r="AD2" s="29" t="s">
        <v>181</v>
      </c>
      <c r="AE2" s="27" t="s">
        <v>179</v>
      </c>
      <c r="AF2" s="28" t="s">
        <v>180</v>
      </c>
      <c r="AG2" s="29" t="s">
        <v>181</v>
      </c>
      <c r="AH2" s="27" t="s">
        <v>179</v>
      </c>
      <c r="AI2" s="28" t="s">
        <v>180</v>
      </c>
      <c r="AJ2" s="29" t="s">
        <v>181</v>
      </c>
      <c r="AK2" s="27" t="s">
        <v>179</v>
      </c>
      <c r="AL2" s="28" t="s">
        <v>180</v>
      </c>
      <c r="AM2" s="29" t="s">
        <v>181</v>
      </c>
      <c r="AN2" s="27" t="s">
        <v>179</v>
      </c>
      <c r="AO2" s="28" t="s">
        <v>180</v>
      </c>
      <c r="AP2" s="29" t="s">
        <v>181</v>
      </c>
      <c r="AQ2" s="27" t="s">
        <v>179</v>
      </c>
      <c r="AR2" s="28" t="s">
        <v>180</v>
      </c>
      <c r="AS2" s="29" t="s">
        <v>181</v>
      </c>
      <c r="AT2" s="27" t="s">
        <v>179</v>
      </c>
      <c r="AU2" s="28" t="s">
        <v>180</v>
      </c>
      <c r="AV2" s="29" t="s">
        <v>181</v>
      </c>
      <c r="AW2" s="27" t="s">
        <v>179</v>
      </c>
      <c r="AX2" s="28" t="s">
        <v>180</v>
      </c>
      <c r="AY2" s="29" t="s">
        <v>181</v>
      </c>
      <c r="AZ2" s="27" t="s">
        <v>179</v>
      </c>
      <c r="BA2" s="28" t="s">
        <v>180</v>
      </c>
      <c r="BB2" s="29" t="s">
        <v>181</v>
      </c>
      <c r="BC2" s="27" t="s">
        <v>179</v>
      </c>
      <c r="BD2" s="28" t="s">
        <v>180</v>
      </c>
      <c r="BE2" s="29" t="s">
        <v>181</v>
      </c>
      <c r="BF2" s="27" t="s">
        <v>179</v>
      </c>
      <c r="BG2" s="28" t="s">
        <v>180</v>
      </c>
      <c r="BH2" s="29" t="s">
        <v>181</v>
      </c>
      <c r="BI2" s="27" t="s">
        <v>179</v>
      </c>
      <c r="BJ2" s="28" t="s">
        <v>180</v>
      </c>
      <c r="BK2" s="29" t="s">
        <v>181</v>
      </c>
    </row>
    <row r="3">
      <c r="A3" s="9" t="s">
        <v>23</v>
      </c>
      <c r="B3" s="10">
        <v>1.0</v>
      </c>
      <c r="C3" s="11" t="s">
        <v>24</v>
      </c>
      <c r="D3" s="30">
        <v>1.0</v>
      </c>
      <c r="E3" s="9">
        <v>943.0</v>
      </c>
      <c r="F3" s="31">
        <v>3109.0</v>
      </c>
      <c r="G3" s="30">
        <v>1.0</v>
      </c>
      <c r="H3" s="9">
        <v>972.0</v>
      </c>
      <c r="I3" s="31">
        <v>3595.0</v>
      </c>
      <c r="J3" s="30">
        <v>1.0</v>
      </c>
      <c r="K3" s="9">
        <v>1029.0</v>
      </c>
      <c r="L3" s="31">
        <v>4130.0</v>
      </c>
      <c r="M3" s="30">
        <v>1.0</v>
      </c>
      <c r="N3" s="9">
        <v>912.0</v>
      </c>
      <c r="O3" s="31">
        <v>2305.0</v>
      </c>
      <c r="P3" s="30">
        <v>1.0</v>
      </c>
      <c r="Q3" s="9">
        <v>1310.0</v>
      </c>
      <c r="R3" s="31">
        <v>5951.0</v>
      </c>
      <c r="S3" s="30">
        <v>1.0</v>
      </c>
      <c r="T3" s="9">
        <v>980.0</v>
      </c>
      <c r="U3" s="31">
        <v>2042.0</v>
      </c>
      <c r="V3" s="30">
        <v>1.0</v>
      </c>
      <c r="W3" s="9">
        <v>1279.0</v>
      </c>
      <c r="X3" s="31">
        <v>7002.0</v>
      </c>
      <c r="Y3" s="30">
        <v>1.0</v>
      </c>
      <c r="Z3" s="9">
        <v>1164.0</v>
      </c>
      <c r="AA3" s="31">
        <v>4640.0</v>
      </c>
      <c r="AB3" s="30">
        <v>0.0</v>
      </c>
      <c r="AC3" s="9">
        <v>720.0</v>
      </c>
      <c r="AD3" s="31">
        <v>3902.0</v>
      </c>
      <c r="AE3" s="30">
        <v>1.0</v>
      </c>
      <c r="AF3" s="9">
        <v>720.0</v>
      </c>
      <c r="AG3" s="31">
        <v>1082.0</v>
      </c>
      <c r="AH3" s="30">
        <v>1.0</v>
      </c>
      <c r="AI3" s="9">
        <v>724.0</v>
      </c>
      <c r="AJ3" s="31">
        <v>1368.0</v>
      </c>
      <c r="AK3" s="30">
        <v>1.0</v>
      </c>
      <c r="AL3" s="9">
        <v>721.0</v>
      </c>
      <c r="AM3" s="31">
        <v>1281.0</v>
      </c>
      <c r="AN3" s="30">
        <v>1.0</v>
      </c>
      <c r="AO3" s="9">
        <v>582.0</v>
      </c>
      <c r="AP3" s="31">
        <v>1990.0</v>
      </c>
      <c r="AQ3" s="30">
        <v>1.0</v>
      </c>
      <c r="AR3" s="9">
        <v>1616.0</v>
      </c>
      <c r="AS3" s="31">
        <v>4116.0</v>
      </c>
      <c r="AT3" s="30">
        <v>1.0</v>
      </c>
      <c r="AU3" s="9">
        <v>1617.0</v>
      </c>
      <c r="AV3" s="31">
        <v>2610.0</v>
      </c>
      <c r="AW3" s="30">
        <v>1.0</v>
      </c>
      <c r="AX3" s="9">
        <v>1617.0</v>
      </c>
      <c r="AY3" s="31">
        <v>2068.0</v>
      </c>
      <c r="AZ3" s="30">
        <v>1.0</v>
      </c>
      <c r="BA3" s="9">
        <v>1507.0</v>
      </c>
      <c r="BB3" s="31">
        <v>5514.0</v>
      </c>
      <c r="BC3" s="30">
        <v>1.0</v>
      </c>
      <c r="BD3" s="9">
        <v>1407.0</v>
      </c>
      <c r="BE3" s="31">
        <v>4748.0</v>
      </c>
      <c r="BF3" s="30">
        <v>1.0</v>
      </c>
      <c r="BG3" s="9">
        <v>1333.0</v>
      </c>
      <c r="BH3" s="31">
        <v>4474.0</v>
      </c>
      <c r="BI3" s="30">
        <v>1.0</v>
      </c>
      <c r="BJ3" s="9">
        <v>1350.0</v>
      </c>
      <c r="BK3" s="31">
        <v>5349.0</v>
      </c>
    </row>
    <row r="4">
      <c r="B4" s="10">
        <v>2.0</v>
      </c>
      <c r="C4" s="11" t="s">
        <v>43</v>
      </c>
      <c r="D4" s="30">
        <v>1.0</v>
      </c>
      <c r="E4" s="9">
        <v>962.0</v>
      </c>
      <c r="F4" s="31">
        <v>3024.0</v>
      </c>
      <c r="G4" s="30">
        <v>1.0</v>
      </c>
      <c r="H4" s="9">
        <v>902.0</v>
      </c>
      <c r="I4" s="31">
        <v>2039.0</v>
      </c>
      <c r="J4" s="30">
        <v>1.0</v>
      </c>
      <c r="K4" s="9">
        <v>930.0</v>
      </c>
      <c r="L4" s="31">
        <v>3424.0</v>
      </c>
      <c r="M4" s="30">
        <v>1.0</v>
      </c>
      <c r="N4" s="9">
        <v>898.0</v>
      </c>
      <c r="O4" s="31">
        <v>3826.0</v>
      </c>
      <c r="P4" s="30">
        <v>1.0</v>
      </c>
      <c r="Q4" s="9">
        <v>1171.0</v>
      </c>
      <c r="R4" s="31">
        <v>4854.0</v>
      </c>
      <c r="S4" s="30">
        <v>1.0</v>
      </c>
      <c r="T4" s="9">
        <v>1171.0</v>
      </c>
      <c r="U4" s="31">
        <v>13587.0</v>
      </c>
      <c r="V4" s="30">
        <v>1.0</v>
      </c>
      <c r="W4" s="9">
        <v>1172.0</v>
      </c>
      <c r="X4" s="31">
        <v>7313.0</v>
      </c>
      <c r="Y4" s="30">
        <v>1.0</v>
      </c>
      <c r="Z4" s="9">
        <v>1175.0</v>
      </c>
      <c r="AA4" s="31">
        <v>4435.0</v>
      </c>
      <c r="AB4" s="30">
        <v>0.0</v>
      </c>
      <c r="AC4" s="9">
        <v>720.0</v>
      </c>
      <c r="AD4" s="31">
        <v>6006.0</v>
      </c>
      <c r="AE4" s="30">
        <v>1.0</v>
      </c>
      <c r="AF4" s="9">
        <v>728.0</v>
      </c>
      <c r="AG4" s="31">
        <v>1171.0</v>
      </c>
      <c r="AH4" s="30">
        <v>1.0</v>
      </c>
      <c r="AI4" s="9">
        <v>721.0</v>
      </c>
      <c r="AJ4" s="31">
        <v>1528.0</v>
      </c>
      <c r="AK4" s="30">
        <v>1.0</v>
      </c>
      <c r="AL4" s="9">
        <v>721.0</v>
      </c>
      <c r="AM4" s="31">
        <v>1015.0</v>
      </c>
      <c r="AN4" s="30">
        <v>0.0</v>
      </c>
      <c r="AO4" s="9">
        <v>1611.0</v>
      </c>
      <c r="AP4" s="31">
        <v>2372.0</v>
      </c>
      <c r="AQ4" s="30">
        <v>1.0</v>
      </c>
      <c r="AR4" s="9">
        <v>1602.0</v>
      </c>
      <c r="AS4" s="31">
        <v>1868.0</v>
      </c>
      <c r="AT4" s="30">
        <v>0.0</v>
      </c>
      <c r="AU4" s="9">
        <v>1616.0</v>
      </c>
      <c r="AV4" s="31">
        <v>2119.0</v>
      </c>
      <c r="AW4" s="30">
        <v>1.0</v>
      </c>
      <c r="AX4" s="9">
        <v>1609.0</v>
      </c>
      <c r="AY4" s="31">
        <v>2507.0</v>
      </c>
      <c r="AZ4" s="30">
        <v>0.0</v>
      </c>
      <c r="BA4" s="9">
        <v>1418.0</v>
      </c>
      <c r="BB4" s="31">
        <v>4891.0</v>
      </c>
      <c r="BC4" s="30">
        <v>1.0</v>
      </c>
      <c r="BD4" s="9">
        <v>1446.0</v>
      </c>
      <c r="BE4" s="31">
        <v>5821.0</v>
      </c>
      <c r="BF4" s="30">
        <v>1.0</v>
      </c>
      <c r="BG4" s="9">
        <v>1397.0</v>
      </c>
      <c r="BH4" s="31">
        <v>6104.0</v>
      </c>
      <c r="BI4" s="30">
        <v>1.0</v>
      </c>
      <c r="BJ4" s="9">
        <v>1462.0</v>
      </c>
      <c r="BK4" s="31">
        <v>5122.0</v>
      </c>
      <c r="BL4" s="32">
        <f>COUNTIF(D4:BK4, 0)</f>
        <v>4</v>
      </c>
      <c r="BM4" s="32">
        <f>COUNTIF(D4:BK4, 1)</f>
        <v>16</v>
      </c>
    </row>
    <row r="5">
      <c r="A5" s="9" t="s">
        <v>64</v>
      </c>
      <c r="B5" s="10">
        <v>3.0</v>
      </c>
      <c r="C5" s="33" t="s">
        <v>65</v>
      </c>
      <c r="D5" s="9">
        <v>1.0</v>
      </c>
      <c r="E5" s="9">
        <v>957.0</v>
      </c>
      <c r="F5" s="31">
        <v>3875.0</v>
      </c>
      <c r="G5" s="9">
        <v>1.0</v>
      </c>
      <c r="H5" s="9">
        <v>940.0</v>
      </c>
      <c r="I5" s="31">
        <v>2734.0</v>
      </c>
      <c r="J5" s="9">
        <v>1.0</v>
      </c>
      <c r="K5" s="9">
        <v>887.0</v>
      </c>
      <c r="L5" s="31">
        <v>3688.0</v>
      </c>
      <c r="M5" s="9">
        <v>1.0</v>
      </c>
      <c r="N5" s="9">
        <v>900.0</v>
      </c>
      <c r="O5" s="31">
        <v>4221.0</v>
      </c>
      <c r="P5" s="9">
        <v>1.0</v>
      </c>
      <c r="Q5" s="9">
        <v>1165.0</v>
      </c>
      <c r="R5" s="31">
        <v>4704.0</v>
      </c>
      <c r="S5" s="9">
        <v>1.0</v>
      </c>
      <c r="T5" s="9">
        <v>1164.0</v>
      </c>
      <c r="U5" s="31">
        <v>4348.0</v>
      </c>
      <c r="V5" s="9">
        <v>1.0</v>
      </c>
      <c r="W5" s="9">
        <v>1288.0</v>
      </c>
      <c r="X5" s="31">
        <v>5002.0</v>
      </c>
      <c r="Y5" s="9">
        <v>1.0</v>
      </c>
      <c r="Z5" s="9">
        <v>1165.0</v>
      </c>
      <c r="AA5" s="31">
        <v>4233.0</v>
      </c>
      <c r="AB5" s="30">
        <v>1.0</v>
      </c>
      <c r="AC5" s="9">
        <v>716.0</v>
      </c>
      <c r="AD5" s="31">
        <v>1293.0</v>
      </c>
      <c r="AE5" s="30">
        <v>1.0</v>
      </c>
      <c r="AF5" s="9">
        <v>716.0</v>
      </c>
      <c r="AG5" s="31">
        <v>1047.0</v>
      </c>
      <c r="AH5" s="30">
        <v>1.0</v>
      </c>
      <c r="AI5" s="9">
        <v>720.0</v>
      </c>
      <c r="AJ5" s="31">
        <v>1425.0</v>
      </c>
      <c r="AK5" s="30">
        <v>1.0</v>
      </c>
      <c r="AL5" s="9">
        <v>717.0</v>
      </c>
      <c r="AM5" s="31">
        <v>1125.0</v>
      </c>
      <c r="AN5" s="30">
        <v>1.0</v>
      </c>
      <c r="AO5" s="9">
        <v>1670.0</v>
      </c>
      <c r="AP5" s="31">
        <v>3272.0</v>
      </c>
      <c r="AQ5" s="30">
        <v>1.0</v>
      </c>
      <c r="AR5" s="9">
        <v>1665.0</v>
      </c>
      <c r="AS5" s="31">
        <v>2030.0</v>
      </c>
      <c r="AT5" s="30">
        <v>1.0</v>
      </c>
      <c r="AU5" s="9">
        <v>1577.0</v>
      </c>
      <c r="AV5" s="31">
        <v>2029.0</v>
      </c>
      <c r="AW5" s="30">
        <v>1.0</v>
      </c>
      <c r="AX5" s="9">
        <v>1576.0</v>
      </c>
      <c r="AY5" s="31">
        <v>2901.0</v>
      </c>
      <c r="AZ5" s="30">
        <v>1.0</v>
      </c>
      <c r="BA5" s="9">
        <v>1322.0</v>
      </c>
      <c r="BB5" s="31">
        <v>4971.0</v>
      </c>
      <c r="BC5" s="30">
        <v>1.0</v>
      </c>
      <c r="BD5" s="9">
        <v>1433.0</v>
      </c>
      <c r="BE5" s="31">
        <v>5767.0</v>
      </c>
      <c r="BF5" s="30">
        <v>1.0</v>
      </c>
      <c r="BG5" s="9">
        <v>1358.0</v>
      </c>
      <c r="BH5" s="31">
        <v>5709.0</v>
      </c>
      <c r="BI5" s="30">
        <v>1.0</v>
      </c>
      <c r="BJ5" s="9">
        <v>1422.0</v>
      </c>
      <c r="BK5" s="31">
        <v>4928.0</v>
      </c>
    </row>
    <row r="6">
      <c r="B6" s="10">
        <v>4.0</v>
      </c>
      <c r="C6" s="11" t="s">
        <v>86</v>
      </c>
      <c r="D6" s="30">
        <v>1.0</v>
      </c>
      <c r="E6" s="9">
        <v>960.0</v>
      </c>
      <c r="F6" s="31">
        <v>8009.0</v>
      </c>
      <c r="G6" s="30">
        <v>1.0</v>
      </c>
      <c r="H6" s="9">
        <v>914.0</v>
      </c>
      <c r="I6" s="31">
        <v>2037.0</v>
      </c>
      <c r="J6" s="30">
        <v>1.0</v>
      </c>
      <c r="K6" s="9">
        <v>940.0</v>
      </c>
      <c r="L6" s="31">
        <v>5013.0</v>
      </c>
      <c r="M6" s="30">
        <v>1.0</v>
      </c>
      <c r="N6" s="9">
        <v>959.0</v>
      </c>
      <c r="O6" s="31">
        <v>3125.0</v>
      </c>
      <c r="P6" s="30">
        <v>1.0</v>
      </c>
      <c r="Q6" s="9">
        <v>1257.0</v>
      </c>
      <c r="R6" s="31">
        <v>7203.0</v>
      </c>
      <c r="S6" s="30">
        <v>1.0</v>
      </c>
      <c r="T6" s="9">
        <v>1167.0</v>
      </c>
      <c r="U6" s="31">
        <v>4218.0</v>
      </c>
      <c r="V6" s="30">
        <v>1.0</v>
      </c>
      <c r="W6" s="9">
        <v>1168.0</v>
      </c>
      <c r="X6" s="31">
        <v>9605.0</v>
      </c>
      <c r="Y6" s="30">
        <v>1.0</v>
      </c>
      <c r="Z6" s="9">
        <v>1245.0</v>
      </c>
      <c r="AA6" s="31">
        <v>5337.0</v>
      </c>
      <c r="AB6" s="30">
        <v>1.0</v>
      </c>
      <c r="AC6" s="9">
        <v>717.0</v>
      </c>
      <c r="AD6" s="31">
        <v>1261.0</v>
      </c>
      <c r="AE6" s="30">
        <v>1.0</v>
      </c>
      <c r="AF6" s="9">
        <v>717.0</v>
      </c>
      <c r="AG6" s="31">
        <v>1062.0</v>
      </c>
      <c r="AH6" s="30">
        <v>1.0</v>
      </c>
      <c r="AI6" s="9">
        <v>762.0</v>
      </c>
      <c r="AJ6" s="31">
        <v>12418.0</v>
      </c>
      <c r="AK6" s="30">
        <v>1.0</v>
      </c>
      <c r="AL6" s="9">
        <v>721.0</v>
      </c>
      <c r="AM6" s="31">
        <v>995.0</v>
      </c>
      <c r="AN6" s="30">
        <v>1.0</v>
      </c>
      <c r="AO6" s="9">
        <v>1667.0</v>
      </c>
      <c r="AP6" s="31">
        <v>3878.0</v>
      </c>
      <c r="AQ6" s="30">
        <v>1.0</v>
      </c>
      <c r="AR6" s="9">
        <v>1665.0</v>
      </c>
      <c r="AS6" s="31">
        <v>2651.0</v>
      </c>
      <c r="AT6" s="30">
        <v>1.0</v>
      </c>
      <c r="AU6" s="9">
        <v>1616.0</v>
      </c>
      <c r="AV6" s="31">
        <v>4508.0</v>
      </c>
      <c r="AW6" s="30">
        <v>1.0</v>
      </c>
      <c r="AX6" s="9">
        <v>1671.0</v>
      </c>
      <c r="AY6" s="31">
        <v>2025.0</v>
      </c>
      <c r="AZ6" s="30">
        <v>1.0</v>
      </c>
      <c r="BA6" s="9">
        <v>1391.0</v>
      </c>
      <c r="BB6" s="31">
        <v>7086.0</v>
      </c>
      <c r="BC6" s="30">
        <v>1.0</v>
      </c>
      <c r="BD6" s="9">
        <v>1342.0</v>
      </c>
      <c r="BE6" s="31">
        <v>4983.0</v>
      </c>
      <c r="BF6" s="30">
        <v>1.0</v>
      </c>
      <c r="BG6" s="9">
        <v>1399.0</v>
      </c>
      <c r="BH6" s="31">
        <v>6058.0</v>
      </c>
      <c r="BI6" s="30">
        <v>1.0</v>
      </c>
      <c r="BJ6" s="9">
        <v>1303.0</v>
      </c>
      <c r="BK6" s="31">
        <v>4382.0</v>
      </c>
    </row>
    <row r="7">
      <c r="A7" s="9" t="s">
        <v>107</v>
      </c>
      <c r="B7" s="10">
        <v>5.0</v>
      </c>
      <c r="C7" s="11" t="s">
        <v>108</v>
      </c>
      <c r="D7" s="30">
        <v>1.0</v>
      </c>
      <c r="E7" s="9">
        <v>875.0</v>
      </c>
      <c r="F7" s="31">
        <v>2311.0</v>
      </c>
      <c r="G7" s="30">
        <v>1.0</v>
      </c>
      <c r="H7" s="9">
        <v>866.0</v>
      </c>
      <c r="I7" s="31">
        <v>3659.0</v>
      </c>
      <c r="J7" s="30">
        <v>1.0</v>
      </c>
      <c r="K7" s="9">
        <v>1083.0</v>
      </c>
      <c r="L7" s="31">
        <v>4455.0</v>
      </c>
      <c r="M7" s="30">
        <v>1.0</v>
      </c>
      <c r="N7" s="9">
        <v>907.0</v>
      </c>
      <c r="O7" s="31">
        <v>2314.0</v>
      </c>
      <c r="P7" s="30">
        <v>1.0</v>
      </c>
      <c r="Q7" s="9">
        <v>1226.0</v>
      </c>
      <c r="R7" s="31">
        <v>16524.0</v>
      </c>
      <c r="S7" s="30">
        <v>1.0</v>
      </c>
      <c r="T7" s="9">
        <v>1152.0</v>
      </c>
      <c r="U7" s="31">
        <v>5031.0</v>
      </c>
      <c r="V7" s="30">
        <v>1.0</v>
      </c>
      <c r="W7" s="9">
        <v>1154.0</v>
      </c>
      <c r="X7" s="31">
        <v>4452.0</v>
      </c>
      <c r="Y7" s="30">
        <v>1.0</v>
      </c>
      <c r="Z7" s="9">
        <v>1159.0</v>
      </c>
      <c r="AA7" s="31">
        <v>4304.0</v>
      </c>
      <c r="AB7" s="30">
        <v>1.0</v>
      </c>
      <c r="AC7" s="9">
        <v>711.0</v>
      </c>
      <c r="AD7" s="31">
        <v>5289.0</v>
      </c>
      <c r="AE7" s="30">
        <v>1.0</v>
      </c>
      <c r="AF7" s="9">
        <v>722.0</v>
      </c>
      <c r="AG7" s="31">
        <v>1140.0</v>
      </c>
      <c r="AH7" s="30">
        <v>1.0</v>
      </c>
      <c r="AI7" s="9">
        <v>713.0</v>
      </c>
      <c r="AJ7" s="31">
        <v>1420.0</v>
      </c>
      <c r="AK7" s="30">
        <v>1.0</v>
      </c>
      <c r="AL7" s="9">
        <v>723.0</v>
      </c>
      <c r="AM7" s="31">
        <v>1479.0</v>
      </c>
      <c r="AN7" s="30">
        <v>1.0</v>
      </c>
      <c r="AO7" s="9">
        <v>1571.0</v>
      </c>
      <c r="AP7" s="31">
        <v>2291.0</v>
      </c>
      <c r="AQ7" s="30">
        <v>1.0</v>
      </c>
      <c r="AR7" s="9">
        <v>1598.0</v>
      </c>
      <c r="AS7" s="31">
        <v>2198.0</v>
      </c>
      <c r="AT7" s="30">
        <v>1.0</v>
      </c>
      <c r="AU7" s="9">
        <v>1602.0</v>
      </c>
      <c r="AV7" s="31">
        <v>2164.0</v>
      </c>
      <c r="AW7" s="30">
        <v>1.0</v>
      </c>
      <c r="AX7" s="9">
        <v>1572.0</v>
      </c>
      <c r="AY7" s="31">
        <v>2173.0</v>
      </c>
      <c r="AZ7" s="30">
        <v>1.0</v>
      </c>
      <c r="BA7" s="9">
        <v>1359.0</v>
      </c>
      <c r="BB7" s="31">
        <v>5949.0</v>
      </c>
      <c r="BC7" s="30">
        <v>1.0</v>
      </c>
      <c r="BD7" s="9">
        <v>1403.0</v>
      </c>
      <c r="BE7" s="31">
        <v>5783.0</v>
      </c>
      <c r="BF7" s="30">
        <v>1.0</v>
      </c>
      <c r="BG7" s="9">
        <v>1309.0</v>
      </c>
      <c r="BH7" s="31">
        <v>4955.0</v>
      </c>
      <c r="BI7" s="30">
        <v>1.0</v>
      </c>
      <c r="BJ7" s="9">
        <v>1327.0</v>
      </c>
      <c r="BK7" s="31">
        <v>5242.0</v>
      </c>
    </row>
    <row r="8">
      <c r="B8" s="10">
        <v>6.0</v>
      </c>
      <c r="C8" s="11" t="s">
        <v>129</v>
      </c>
      <c r="D8" s="30">
        <v>1.0</v>
      </c>
      <c r="E8" s="9">
        <v>1007.0</v>
      </c>
      <c r="F8" s="31">
        <v>3754.0</v>
      </c>
      <c r="G8" s="30">
        <v>1.0</v>
      </c>
      <c r="H8" s="9">
        <v>975.0</v>
      </c>
      <c r="I8" s="31">
        <v>5552.0</v>
      </c>
      <c r="J8" s="30">
        <v>1.0</v>
      </c>
      <c r="K8" s="9">
        <v>944.0</v>
      </c>
      <c r="L8" s="31">
        <v>4200.0</v>
      </c>
      <c r="M8" s="30">
        <v>1.0</v>
      </c>
      <c r="N8" s="9">
        <v>987.0</v>
      </c>
      <c r="O8" s="31">
        <v>5123.0</v>
      </c>
      <c r="P8" s="30">
        <v>1.0</v>
      </c>
      <c r="Q8" s="9">
        <v>1313.0</v>
      </c>
      <c r="R8" s="31">
        <v>5157.0</v>
      </c>
      <c r="S8" s="30">
        <v>1.0</v>
      </c>
      <c r="T8" s="9">
        <v>1354.0</v>
      </c>
      <c r="U8" s="31">
        <v>7794.0</v>
      </c>
      <c r="V8" s="30">
        <v>1.0</v>
      </c>
      <c r="W8" s="9">
        <v>1180.0</v>
      </c>
      <c r="X8" s="31">
        <v>3615.0</v>
      </c>
      <c r="Y8" s="30">
        <v>1.0</v>
      </c>
      <c r="Z8" s="9">
        <v>1368.0</v>
      </c>
      <c r="AA8" s="31">
        <v>10466.0</v>
      </c>
      <c r="AB8" s="30">
        <v>1.0</v>
      </c>
      <c r="AC8" s="9">
        <v>744.0</v>
      </c>
      <c r="AD8" s="31">
        <v>6634.0</v>
      </c>
      <c r="AE8" s="30">
        <v>1.0</v>
      </c>
      <c r="AF8" s="9">
        <v>755.0</v>
      </c>
      <c r="AG8" s="31">
        <v>1464.0</v>
      </c>
      <c r="AH8" s="30">
        <v>1.0</v>
      </c>
      <c r="AI8" s="9">
        <v>738.0</v>
      </c>
      <c r="AJ8" s="31">
        <v>1163.0</v>
      </c>
      <c r="AK8" s="30">
        <v>1.0</v>
      </c>
      <c r="AL8" s="9">
        <v>739.0</v>
      </c>
      <c r="AM8" s="31">
        <v>1543.0</v>
      </c>
      <c r="AN8" s="30">
        <v>1.0</v>
      </c>
      <c r="AO8" s="9">
        <v>1613.0</v>
      </c>
      <c r="AP8" s="31">
        <v>5811.0</v>
      </c>
      <c r="AQ8" s="30">
        <v>1.0</v>
      </c>
      <c r="AR8" s="9">
        <v>1689.0</v>
      </c>
      <c r="AS8" s="31">
        <v>2576.0</v>
      </c>
      <c r="AT8" s="30">
        <v>1.0</v>
      </c>
      <c r="AU8" s="9">
        <v>1610.0</v>
      </c>
      <c r="AV8" s="31">
        <v>1687.0</v>
      </c>
      <c r="AW8" s="30">
        <v>1.0</v>
      </c>
      <c r="AX8" s="9">
        <v>1637.0</v>
      </c>
      <c r="AY8" s="31">
        <v>2289.0</v>
      </c>
      <c r="AZ8" s="30">
        <v>1.0</v>
      </c>
      <c r="BA8" s="9">
        <v>1468.0</v>
      </c>
      <c r="BB8" s="31">
        <v>6686.0</v>
      </c>
      <c r="BC8" s="30">
        <v>1.0</v>
      </c>
      <c r="BD8" s="9">
        <v>1482.0</v>
      </c>
      <c r="BE8" s="31">
        <v>6076.0</v>
      </c>
      <c r="BF8" s="30">
        <v>1.0</v>
      </c>
      <c r="BG8" s="9">
        <v>1442.0</v>
      </c>
      <c r="BH8" s="31">
        <v>5000.0</v>
      </c>
      <c r="BI8" s="30">
        <v>1.0</v>
      </c>
      <c r="BJ8" s="9">
        <v>1518.0</v>
      </c>
      <c r="BK8" s="31">
        <v>6832.0</v>
      </c>
    </row>
    <row r="9" ht="33.75" customHeight="1">
      <c r="A9" s="9" t="s">
        <v>150</v>
      </c>
      <c r="B9" s="10">
        <v>7.0</v>
      </c>
      <c r="C9" s="11" t="s">
        <v>151</v>
      </c>
      <c r="D9" s="30">
        <v>1.0</v>
      </c>
      <c r="E9" s="9">
        <v>893.0</v>
      </c>
      <c r="F9" s="31">
        <v>3601.0</v>
      </c>
      <c r="G9" s="30">
        <v>1.0</v>
      </c>
      <c r="H9" s="9">
        <v>916.0</v>
      </c>
      <c r="I9" s="31">
        <v>2650.0</v>
      </c>
      <c r="J9" s="30">
        <v>1.0</v>
      </c>
      <c r="K9" s="9">
        <v>912.0</v>
      </c>
      <c r="L9" s="31">
        <v>2363.0</v>
      </c>
      <c r="M9" s="30">
        <v>1.0</v>
      </c>
      <c r="N9" s="9">
        <v>894.0</v>
      </c>
      <c r="O9" s="31">
        <v>2178.0</v>
      </c>
      <c r="P9" s="30">
        <v>1.0</v>
      </c>
      <c r="Q9" s="9">
        <v>1140.0</v>
      </c>
      <c r="R9" s="31">
        <v>4120.0</v>
      </c>
      <c r="S9" s="30">
        <v>1.0</v>
      </c>
      <c r="T9" s="9">
        <v>1144.0</v>
      </c>
      <c r="U9" s="31">
        <v>4125.0</v>
      </c>
      <c r="V9" s="30">
        <v>1.0</v>
      </c>
      <c r="W9" s="9">
        <v>1339.0</v>
      </c>
      <c r="X9" s="31">
        <v>5667.0</v>
      </c>
      <c r="Y9" s="30">
        <v>1.0</v>
      </c>
      <c r="Z9" s="9">
        <v>1228.0</v>
      </c>
      <c r="AA9" s="31">
        <v>4906.0</v>
      </c>
      <c r="AB9" s="30">
        <v>1.0</v>
      </c>
      <c r="AC9" s="9">
        <v>697.0</v>
      </c>
      <c r="AD9" s="31">
        <v>1041.0</v>
      </c>
      <c r="AE9" s="30">
        <v>1.0</v>
      </c>
      <c r="AF9" s="9">
        <v>720.0</v>
      </c>
      <c r="AG9" s="31">
        <v>1087.0</v>
      </c>
      <c r="AH9" s="30">
        <v>1.0</v>
      </c>
      <c r="AI9" s="9">
        <v>699.0</v>
      </c>
      <c r="AJ9" s="31">
        <v>1069.0</v>
      </c>
      <c r="AK9" s="30">
        <v>1.0</v>
      </c>
      <c r="AL9" s="9">
        <v>699.0</v>
      </c>
      <c r="AM9" s="31">
        <v>1749.0</v>
      </c>
      <c r="AN9" s="30">
        <v>1.0</v>
      </c>
      <c r="AO9" s="9">
        <v>1588.0</v>
      </c>
      <c r="AP9" s="31">
        <v>2534.0</v>
      </c>
      <c r="AQ9" s="30">
        <v>1.0</v>
      </c>
      <c r="AR9" s="9">
        <v>1557.0</v>
      </c>
      <c r="AS9" s="31">
        <v>2364.0</v>
      </c>
      <c r="AT9" s="30">
        <v>1.0</v>
      </c>
      <c r="AU9" s="9">
        <v>1586.0</v>
      </c>
      <c r="AV9" s="31">
        <v>2079.0</v>
      </c>
      <c r="AW9" s="30">
        <v>1.0</v>
      </c>
      <c r="AX9" s="9">
        <v>1579.0</v>
      </c>
      <c r="AY9" s="31">
        <v>2681.0</v>
      </c>
      <c r="AZ9" s="30">
        <v>1.0</v>
      </c>
      <c r="BA9" s="9">
        <v>1530.0</v>
      </c>
      <c r="BB9" s="31">
        <v>6852.0</v>
      </c>
      <c r="BC9" s="30">
        <v>1.0</v>
      </c>
      <c r="BD9" s="9">
        <v>1406.0</v>
      </c>
      <c r="BE9" s="31">
        <v>5071.0</v>
      </c>
      <c r="BF9" s="30">
        <v>1.0</v>
      </c>
      <c r="BG9" s="9">
        <v>1429.0</v>
      </c>
      <c r="BH9" s="31">
        <v>7754.0</v>
      </c>
      <c r="BI9" s="30">
        <v>1.0</v>
      </c>
      <c r="BJ9" s="9">
        <v>1438.0</v>
      </c>
      <c r="BK9" s="31">
        <v>8533.0</v>
      </c>
    </row>
    <row r="10">
      <c r="B10" s="10">
        <v>8.0</v>
      </c>
      <c r="C10" s="11" t="s">
        <v>165</v>
      </c>
      <c r="D10" s="34">
        <v>1.0</v>
      </c>
      <c r="E10" s="35">
        <v>903.0</v>
      </c>
      <c r="F10" s="36">
        <v>3332.0</v>
      </c>
      <c r="G10" s="34">
        <v>1.0</v>
      </c>
      <c r="H10" s="35">
        <v>949.0</v>
      </c>
      <c r="I10" s="36">
        <v>3384.0</v>
      </c>
      <c r="J10" s="34">
        <v>1.0</v>
      </c>
      <c r="K10" s="35">
        <v>906.0</v>
      </c>
      <c r="L10" s="36">
        <v>2894.0</v>
      </c>
      <c r="M10" s="34">
        <v>1.0</v>
      </c>
      <c r="N10" s="35">
        <v>907.0</v>
      </c>
      <c r="O10" s="36">
        <v>2508.0</v>
      </c>
      <c r="P10" s="34">
        <v>1.0</v>
      </c>
      <c r="Q10" s="35">
        <v>1161.0</v>
      </c>
      <c r="R10" s="36">
        <v>3755.0</v>
      </c>
      <c r="S10" s="34">
        <v>1.0</v>
      </c>
      <c r="T10" s="35">
        <v>1204.0</v>
      </c>
      <c r="U10" s="36">
        <v>3833.0</v>
      </c>
      <c r="V10" s="34">
        <v>1.0</v>
      </c>
      <c r="W10" s="35">
        <v>1162.0</v>
      </c>
      <c r="X10" s="36">
        <v>4387.0</v>
      </c>
      <c r="Y10" s="34">
        <v>1.0</v>
      </c>
      <c r="Z10" s="35">
        <v>1159.0</v>
      </c>
      <c r="AA10" s="36">
        <v>5589.0</v>
      </c>
      <c r="AB10" s="34">
        <v>1.0</v>
      </c>
      <c r="AC10" s="35">
        <v>719.0</v>
      </c>
      <c r="AD10" s="36">
        <v>1489.0</v>
      </c>
      <c r="AE10" s="34">
        <v>1.0</v>
      </c>
      <c r="AF10" s="35">
        <v>720.0</v>
      </c>
      <c r="AG10" s="36">
        <v>1156.0</v>
      </c>
      <c r="AH10" s="34">
        <v>1.0</v>
      </c>
      <c r="AI10" s="35">
        <v>717.0</v>
      </c>
      <c r="AJ10" s="36">
        <v>1065.0</v>
      </c>
      <c r="AK10" s="34">
        <v>1.0</v>
      </c>
      <c r="AL10" s="35">
        <v>722.0</v>
      </c>
      <c r="AM10" s="36">
        <v>1279.0</v>
      </c>
      <c r="AN10" s="34">
        <v>1.0</v>
      </c>
      <c r="AO10" s="35">
        <v>1603.0</v>
      </c>
      <c r="AP10" s="36">
        <v>3141.0</v>
      </c>
      <c r="AQ10" s="34">
        <v>1.0</v>
      </c>
      <c r="AR10" s="35">
        <v>1601.0</v>
      </c>
      <c r="AS10" s="36">
        <v>1843.0</v>
      </c>
      <c r="AT10" s="34">
        <v>1.0</v>
      </c>
      <c r="AU10" s="35">
        <v>1606.0</v>
      </c>
      <c r="AV10" s="36">
        <v>2138.0</v>
      </c>
      <c r="AW10" s="34">
        <v>1.0</v>
      </c>
      <c r="AX10" s="35">
        <v>1604.0</v>
      </c>
      <c r="AY10" s="36">
        <v>2173.0</v>
      </c>
      <c r="AZ10" s="34">
        <v>1.0</v>
      </c>
      <c r="BA10" s="35">
        <v>1380.0</v>
      </c>
      <c r="BB10" s="36">
        <v>5479.0</v>
      </c>
      <c r="BC10" s="34">
        <v>1.0</v>
      </c>
      <c r="BD10" s="35">
        <v>1566.0</v>
      </c>
      <c r="BE10" s="36">
        <v>6148.0</v>
      </c>
      <c r="BF10" s="34">
        <v>1.0</v>
      </c>
      <c r="BG10" s="35">
        <v>1406.0</v>
      </c>
      <c r="BH10" s="36">
        <v>4396.0</v>
      </c>
      <c r="BI10" s="34">
        <v>1.0</v>
      </c>
      <c r="BJ10" s="35">
        <v>1442.0</v>
      </c>
      <c r="BK10" s="36">
        <v>5306.0</v>
      </c>
    </row>
    <row r="11">
      <c r="C11" s="37" t="s">
        <v>182</v>
      </c>
      <c r="D11" s="38">
        <f t="shared" ref="D11:BK11" si="1">SUM(D3:D10)</f>
        <v>8</v>
      </c>
      <c r="E11" s="38">
        <f t="shared" si="1"/>
        <v>7500</v>
      </c>
      <c r="F11" s="38">
        <f t="shared" si="1"/>
        <v>31015</v>
      </c>
      <c r="G11" s="38">
        <f t="shared" si="1"/>
        <v>8</v>
      </c>
      <c r="H11" s="38">
        <f t="shared" si="1"/>
        <v>7434</v>
      </c>
      <c r="I11" s="38">
        <f t="shared" si="1"/>
        <v>25650</v>
      </c>
      <c r="J11" s="38">
        <f t="shared" si="1"/>
        <v>8</v>
      </c>
      <c r="K11" s="38">
        <f t="shared" si="1"/>
        <v>7631</v>
      </c>
      <c r="L11" s="38">
        <f t="shared" si="1"/>
        <v>30167</v>
      </c>
      <c r="M11" s="38">
        <f t="shared" si="1"/>
        <v>8</v>
      </c>
      <c r="N11" s="38">
        <f t="shared" si="1"/>
        <v>7364</v>
      </c>
      <c r="O11" s="38">
        <f t="shared" si="1"/>
        <v>25600</v>
      </c>
      <c r="P11" s="38">
        <f t="shared" si="1"/>
        <v>8</v>
      </c>
      <c r="Q11" s="38">
        <f t="shared" si="1"/>
        <v>9743</v>
      </c>
      <c r="R11" s="38">
        <f t="shared" si="1"/>
        <v>52268</v>
      </c>
      <c r="S11" s="38">
        <f t="shared" si="1"/>
        <v>8</v>
      </c>
      <c r="T11" s="38">
        <f t="shared" si="1"/>
        <v>9336</v>
      </c>
      <c r="U11" s="38">
        <f t="shared" si="1"/>
        <v>44978</v>
      </c>
      <c r="V11" s="38">
        <f t="shared" si="1"/>
        <v>8</v>
      </c>
      <c r="W11" s="38">
        <f t="shared" si="1"/>
        <v>9742</v>
      </c>
      <c r="X11" s="38">
        <f t="shared" si="1"/>
        <v>47043</v>
      </c>
      <c r="Y11" s="38">
        <f t="shared" si="1"/>
        <v>8</v>
      </c>
      <c r="Z11" s="38">
        <f t="shared" si="1"/>
        <v>9663</v>
      </c>
      <c r="AA11" s="38">
        <f t="shared" si="1"/>
        <v>43910</v>
      </c>
      <c r="AB11" s="38">
        <f t="shared" si="1"/>
        <v>6</v>
      </c>
      <c r="AC11" s="38">
        <f t="shared" si="1"/>
        <v>5744</v>
      </c>
      <c r="AD11" s="38">
        <f t="shared" si="1"/>
        <v>26915</v>
      </c>
      <c r="AE11" s="38">
        <f t="shared" si="1"/>
        <v>8</v>
      </c>
      <c r="AF11" s="38">
        <f t="shared" si="1"/>
        <v>5798</v>
      </c>
      <c r="AG11" s="38">
        <f t="shared" si="1"/>
        <v>9209</v>
      </c>
      <c r="AH11" s="38">
        <f t="shared" si="1"/>
        <v>8</v>
      </c>
      <c r="AI11" s="38">
        <f t="shared" si="1"/>
        <v>5794</v>
      </c>
      <c r="AJ11" s="38">
        <f t="shared" si="1"/>
        <v>21456</v>
      </c>
      <c r="AK11" s="38">
        <f t="shared" si="1"/>
        <v>8</v>
      </c>
      <c r="AL11" s="38">
        <f t="shared" si="1"/>
        <v>5763</v>
      </c>
      <c r="AM11" s="38">
        <f t="shared" si="1"/>
        <v>10466</v>
      </c>
      <c r="AN11" s="38">
        <f t="shared" si="1"/>
        <v>7</v>
      </c>
      <c r="AO11" s="38">
        <f t="shared" si="1"/>
        <v>11905</v>
      </c>
      <c r="AP11" s="38">
        <f t="shared" si="1"/>
        <v>25289</v>
      </c>
      <c r="AQ11" s="38">
        <f t="shared" si="1"/>
        <v>8</v>
      </c>
      <c r="AR11" s="38">
        <f t="shared" si="1"/>
        <v>12993</v>
      </c>
      <c r="AS11" s="38">
        <f t="shared" si="1"/>
        <v>19646</v>
      </c>
      <c r="AT11" s="38">
        <f t="shared" si="1"/>
        <v>7</v>
      </c>
      <c r="AU11" s="38">
        <f t="shared" si="1"/>
        <v>12830</v>
      </c>
      <c r="AV11" s="38">
        <f t="shared" si="1"/>
        <v>19334</v>
      </c>
      <c r="AW11" s="38">
        <f t="shared" si="1"/>
        <v>8</v>
      </c>
      <c r="AX11" s="38">
        <f t="shared" si="1"/>
        <v>12865</v>
      </c>
      <c r="AY11" s="38">
        <f t="shared" si="1"/>
        <v>18817</v>
      </c>
      <c r="AZ11" s="38">
        <f t="shared" si="1"/>
        <v>7</v>
      </c>
      <c r="BA11" s="38">
        <f t="shared" si="1"/>
        <v>11375</v>
      </c>
      <c r="BB11" s="38">
        <f t="shared" si="1"/>
        <v>47428</v>
      </c>
      <c r="BC11" s="38">
        <f t="shared" si="1"/>
        <v>8</v>
      </c>
      <c r="BD11" s="38">
        <f t="shared" si="1"/>
        <v>11485</v>
      </c>
      <c r="BE11" s="38">
        <f t="shared" si="1"/>
        <v>44397</v>
      </c>
      <c r="BF11" s="38">
        <f t="shared" si="1"/>
        <v>8</v>
      </c>
      <c r="BG11" s="38">
        <f t="shared" si="1"/>
        <v>11073</v>
      </c>
      <c r="BH11" s="38">
        <f t="shared" si="1"/>
        <v>44450</v>
      </c>
      <c r="BI11" s="38">
        <f t="shared" si="1"/>
        <v>8</v>
      </c>
      <c r="BJ11" s="38">
        <f t="shared" si="1"/>
        <v>11262</v>
      </c>
      <c r="BK11" s="38">
        <f t="shared" si="1"/>
        <v>45694</v>
      </c>
    </row>
    <row r="12">
      <c r="C12" s="37" t="s">
        <v>183</v>
      </c>
      <c r="D12" s="38">
        <f t="shared" ref="D12:BK12" si="2">AVERAGE(D3:D10)</f>
        <v>1</v>
      </c>
      <c r="E12" s="38">
        <f t="shared" si="2"/>
        <v>937.5</v>
      </c>
      <c r="F12" s="38">
        <f t="shared" si="2"/>
        <v>3876.875</v>
      </c>
      <c r="G12" s="38">
        <f t="shared" si="2"/>
        <v>1</v>
      </c>
      <c r="H12" s="38">
        <f t="shared" si="2"/>
        <v>929.25</v>
      </c>
      <c r="I12" s="38">
        <f t="shared" si="2"/>
        <v>3206.25</v>
      </c>
      <c r="J12" s="38">
        <f t="shared" si="2"/>
        <v>1</v>
      </c>
      <c r="K12" s="38">
        <f t="shared" si="2"/>
        <v>953.875</v>
      </c>
      <c r="L12" s="38">
        <f t="shared" si="2"/>
        <v>3770.875</v>
      </c>
      <c r="M12" s="38">
        <f t="shared" si="2"/>
        <v>1</v>
      </c>
      <c r="N12" s="38">
        <f t="shared" si="2"/>
        <v>920.5</v>
      </c>
      <c r="O12" s="38">
        <f t="shared" si="2"/>
        <v>3200</v>
      </c>
      <c r="P12" s="38">
        <f t="shared" si="2"/>
        <v>1</v>
      </c>
      <c r="Q12" s="38">
        <f t="shared" si="2"/>
        <v>1217.875</v>
      </c>
      <c r="R12" s="38">
        <f t="shared" si="2"/>
        <v>6533.5</v>
      </c>
      <c r="S12" s="38">
        <f t="shared" si="2"/>
        <v>1</v>
      </c>
      <c r="T12" s="38">
        <f t="shared" si="2"/>
        <v>1167</v>
      </c>
      <c r="U12" s="38">
        <f t="shared" si="2"/>
        <v>5622.25</v>
      </c>
      <c r="V12" s="38">
        <f t="shared" si="2"/>
        <v>1</v>
      </c>
      <c r="W12" s="38">
        <f t="shared" si="2"/>
        <v>1217.75</v>
      </c>
      <c r="X12" s="38">
        <f t="shared" si="2"/>
        <v>5880.375</v>
      </c>
      <c r="Y12" s="38">
        <f t="shared" si="2"/>
        <v>1</v>
      </c>
      <c r="Z12" s="38">
        <f t="shared" si="2"/>
        <v>1207.875</v>
      </c>
      <c r="AA12" s="38">
        <f t="shared" si="2"/>
        <v>5488.75</v>
      </c>
      <c r="AB12" s="38">
        <f t="shared" si="2"/>
        <v>0.75</v>
      </c>
      <c r="AC12" s="38">
        <f t="shared" si="2"/>
        <v>718</v>
      </c>
      <c r="AD12" s="38">
        <f t="shared" si="2"/>
        <v>3364.375</v>
      </c>
      <c r="AE12" s="38">
        <f t="shared" si="2"/>
        <v>1</v>
      </c>
      <c r="AF12" s="38">
        <f t="shared" si="2"/>
        <v>724.75</v>
      </c>
      <c r="AG12" s="38">
        <f t="shared" si="2"/>
        <v>1151.125</v>
      </c>
      <c r="AH12" s="38">
        <f t="shared" si="2"/>
        <v>1</v>
      </c>
      <c r="AI12" s="38">
        <f t="shared" si="2"/>
        <v>724.25</v>
      </c>
      <c r="AJ12" s="38">
        <f t="shared" si="2"/>
        <v>2682</v>
      </c>
      <c r="AK12" s="38">
        <f t="shared" si="2"/>
        <v>1</v>
      </c>
      <c r="AL12" s="38">
        <f t="shared" si="2"/>
        <v>720.375</v>
      </c>
      <c r="AM12" s="38">
        <f t="shared" si="2"/>
        <v>1308.25</v>
      </c>
      <c r="AN12" s="38">
        <f t="shared" si="2"/>
        <v>0.875</v>
      </c>
      <c r="AO12" s="38">
        <f t="shared" si="2"/>
        <v>1488.125</v>
      </c>
      <c r="AP12" s="38">
        <f t="shared" si="2"/>
        <v>3161.125</v>
      </c>
      <c r="AQ12" s="38">
        <f t="shared" si="2"/>
        <v>1</v>
      </c>
      <c r="AR12" s="38">
        <f t="shared" si="2"/>
        <v>1624.125</v>
      </c>
      <c r="AS12" s="38">
        <f t="shared" si="2"/>
        <v>2455.75</v>
      </c>
      <c r="AT12" s="38">
        <f t="shared" si="2"/>
        <v>0.875</v>
      </c>
      <c r="AU12" s="38">
        <f t="shared" si="2"/>
        <v>1603.75</v>
      </c>
      <c r="AV12" s="38">
        <f t="shared" si="2"/>
        <v>2416.75</v>
      </c>
      <c r="AW12" s="38">
        <f t="shared" si="2"/>
        <v>1</v>
      </c>
      <c r="AX12" s="38">
        <f t="shared" si="2"/>
        <v>1608.125</v>
      </c>
      <c r="AY12" s="38">
        <f t="shared" si="2"/>
        <v>2352.125</v>
      </c>
      <c r="AZ12" s="38">
        <f t="shared" si="2"/>
        <v>0.875</v>
      </c>
      <c r="BA12" s="38">
        <f t="shared" si="2"/>
        <v>1421.875</v>
      </c>
      <c r="BB12" s="38">
        <f t="shared" si="2"/>
        <v>5928.5</v>
      </c>
      <c r="BC12" s="38">
        <f t="shared" si="2"/>
        <v>1</v>
      </c>
      <c r="BD12" s="38">
        <f t="shared" si="2"/>
        <v>1435.625</v>
      </c>
      <c r="BE12" s="38">
        <f t="shared" si="2"/>
        <v>5549.625</v>
      </c>
      <c r="BF12" s="38">
        <f t="shared" si="2"/>
        <v>1</v>
      </c>
      <c r="BG12" s="38">
        <f t="shared" si="2"/>
        <v>1384.125</v>
      </c>
      <c r="BH12" s="38">
        <f t="shared" si="2"/>
        <v>5556.25</v>
      </c>
      <c r="BI12" s="38">
        <f t="shared" si="2"/>
        <v>1</v>
      </c>
      <c r="BJ12" s="38">
        <f t="shared" si="2"/>
        <v>1407.75</v>
      </c>
      <c r="BK12" s="38">
        <f t="shared" si="2"/>
        <v>5711.75</v>
      </c>
    </row>
    <row r="14">
      <c r="A14" s="25" t="s">
        <v>178</v>
      </c>
      <c r="B14" s="26">
        <f>COUNTBLANK(D3:BK12)</f>
        <v>0</v>
      </c>
      <c r="D14" s="39"/>
    </row>
    <row r="30">
      <c r="B30" s="40"/>
      <c r="D30" s="40"/>
      <c r="E30" s="40"/>
      <c r="F30" s="40"/>
      <c r="J30" s="40"/>
      <c r="K30" s="40"/>
      <c r="L30" s="40"/>
      <c r="P30" s="40"/>
      <c r="Q30" s="40"/>
      <c r="R30" s="40"/>
      <c r="V30" s="40"/>
      <c r="W30" s="40"/>
      <c r="X30" s="40"/>
    </row>
    <row r="37">
      <c r="A37" s="41"/>
    </row>
  </sheetData>
  <mergeCells count="32">
    <mergeCell ref="P1:R1"/>
    <mergeCell ref="S1:U1"/>
    <mergeCell ref="V1:X1"/>
    <mergeCell ref="Y1:AA1"/>
    <mergeCell ref="AB1:AD1"/>
    <mergeCell ref="AE1:AG1"/>
    <mergeCell ref="AH1:AJ1"/>
    <mergeCell ref="BF1:BH1"/>
    <mergeCell ref="BI1:BK1"/>
    <mergeCell ref="AK1:AM1"/>
    <mergeCell ref="AN1:AP1"/>
    <mergeCell ref="AQ1:AS1"/>
    <mergeCell ref="AT1:AV1"/>
    <mergeCell ref="AW1:AY1"/>
    <mergeCell ref="AZ1:BB1"/>
    <mergeCell ref="BC1:BE1"/>
    <mergeCell ref="A1:A2"/>
    <mergeCell ref="B1:B2"/>
    <mergeCell ref="C1:C2"/>
    <mergeCell ref="D1:F1"/>
    <mergeCell ref="G1:I1"/>
    <mergeCell ref="J1:L1"/>
    <mergeCell ref="M1:O1"/>
    <mergeCell ref="R30:U30"/>
    <mergeCell ref="X30:AA30"/>
    <mergeCell ref="A3:A4"/>
    <mergeCell ref="A5:A6"/>
    <mergeCell ref="A7:A8"/>
    <mergeCell ref="A9:A10"/>
    <mergeCell ref="B30:C30"/>
    <mergeCell ref="F30:I30"/>
    <mergeCell ref="L30:O3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11.88"/>
    <col customWidth="1" min="3" max="3" width="11.38"/>
    <col customWidth="1" min="4" max="4" width="10.0"/>
    <col customWidth="1" min="5" max="5" width="17.75"/>
    <col customWidth="1" min="6" max="6" width="11.75"/>
  </cols>
  <sheetData>
    <row r="1">
      <c r="A1" s="40" t="s">
        <v>184</v>
      </c>
      <c r="B1" s="40" t="s">
        <v>185</v>
      </c>
      <c r="C1" s="40" t="s">
        <v>186</v>
      </c>
      <c r="D1" s="40" t="s">
        <v>187</v>
      </c>
      <c r="E1" s="40" t="s">
        <v>188</v>
      </c>
      <c r="F1" s="42" t="s">
        <v>181</v>
      </c>
    </row>
    <row r="2">
      <c r="A2" s="3" t="s">
        <v>3</v>
      </c>
      <c r="B2" s="43">
        <v>1.0</v>
      </c>
      <c r="C2" s="44">
        <v>937.5</v>
      </c>
      <c r="D2" s="45">
        <f t="shared" ref="D2:D21" si="1">F2/$A$24</f>
        <v>3.876875</v>
      </c>
      <c r="E2" s="45">
        <f t="shared" ref="E2:E21" si="2">C2/D2</f>
        <v>241.8184749</v>
      </c>
      <c r="F2" s="46">
        <v>3876.875</v>
      </c>
    </row>
    <row r="3">
      <c r="A3" s="3" t="s">
        <v>4</v>
      </c>
      <c r="B3" s="43">
        <v>1.0</v>
      </c>
      <c r="C3" s="44">
        <v>929.25</v>
      </c>
      <c r="D3" s="45">
        <f t="shared" si="1"/>
        <v>3.20625</v>
      </c>
      <c r="E3" s="45">
        <f t="shared" si="2"/>
        <v>289.8245614</v>
      </c>
      <c r="F3" s="46">
        <v>3206.25</v>
      </c>
    </row>
    <row r="4">
      <c r="A4" s="3" t="s">
        <v>5</v>
      </c>
      <c r="B4" s="43">
        <v>1.0</v>
      </c>
      <c r="C4" s="44">
        <v>953.875</v>
      </c>
      <c r="D4" s="45">
        <f t="shared" si="1"/>
        <v>3.770875</v>
      </c>
      <c r="E4" s="45">
        <f t="shared" si="2"/>
        <v>252.9585308</v>
      </c>
      <c r="F4" s="46">
        <v>3770.875</v>
      </c>
    </row>
    <row r="5">
      <c r="A5" s="3" t="s">
        <v>6</v>
      </c>
      <c r="B5" s="43">
        <v>1.0</v>
      </c>
      <c r="C5" s="44">
        <v>920.5</v>
      </c>
      <c r="D5" s="45">
        <f t="shared" si="1"/>
        <v>3.2</v>
      </c>
      <c r="E5" s="45">
        <f t="shared" si="2"/>
        <v>287.65625</v>
      </c>
      <c r="F5" s="46">
        <v>3200.0</v>
      </c>
    </row>
    <row r="6">
      <c r="A6" s="4" t="s">
        <v>7</v>
      </c>
      <c r="B6" s="43">
        <v>1.0</v>
      </c>
      <c r="C6" s="44">
        <v>1217.875</v>
      </c>
      <c r="D6" s="45">
        <f t="shared" si="1"/>
        <v>6.5335</v>
      </c>
      <c r="E6" s="45">
        <f t="shared" si="2"/>
        <v>186.4046836</v>
      </c>
      <c r="F6" s="46">
        <v>6533.5</v>
      </c>
    </row>
    <row r="7">
      <c r="A7" s="4" t="s">
        <v>8</v>
      </c>
      <c r="B7" s="43">
        <v>1.0</v>
      </c>
      <c r="C7" s="44">
        <v>1167.0</v>
      </c>
      <c r="D7" s="45">
        <f t="shared" si="1"/>
        <v>5.62225</v>
      </c>
      <c r="E7" s="45">
        <f t="shared" si="2"/>
        <v>207.5681444</v>
      </c>
      <c r="F7" s="46">
        <v>5622.25</v>
      </c>
    </row>
    <row r="8">
      <c r="A8" s="4" t="s">
        <v>9</v>
      </c>
      <c r="B8" s="43">
        <v>1.0</v>
      </c>
      <c r="C8" s="44">
        <v>1217.75</v>
      </c>
      <c r="D8" s="45">
        <f t="shared" si="1"/>
        <v>5.880375</v>
      </c>
      <c r="E8" s="45">
        <f t="shared" si="2"/>
        <v>207.087133</v>
      </c>
      <c r="F8" s="46">
        <v>5880.375</v>
      </c>
    </row>
    <row r="9">
      <c r="A9" s="4" t="s">
        <v>10</v>
      </c>
      <c r="B9" s="43">
        <v>1.0</v>
      </c>
      <c r="C9" s="44">
        <v>1207.875</v>
      </c>
      <c r="D9" s="45">
        <f t="shared" si="1"/>
        <v>5.48875</v>
      </c>
      <c r="E9" s="45">
        <f t="shared" si="2"/>
        <v>220.0637668</v>
      </c>
      <c r="F9" s="46">
        <v>5488.75</v>
      </c>
    </row>
    <row r="10">
      <c r="A10" s="5" t="s">
        <v>11</v>
      </c>
      <c r="B10" s="43">
        <v>0.75</v>
      </c>
      <c r="C10" s="44">
        <v>718.0</v>
      </c>
      <c r="D10" s="45">
        <f t="shared" si="1"/>
        <v>3.364375</v>
      </c>
      <c r="E10" s="45">
        <f t="shared" si="2"/>
        <v>213.4125952</v>
      </c>
      <c r="F10" s="46">
        <v>3364.375</v>
      </c>
    </row>
    <row r="11">
      <c r="A11" s="5" t="s">
        <v>12</v>
      </c>
      <c r="B11" s="43">
        <v>1.0</v>
      </c>
      <c r="C11" s="44">
        <v>724.75</v>
      </c>
      <c r="D11" s="45">
        <f t="shared" si="1"/>
        <v>1.151125</v>
      </c>
      <c r="E11" s="45">
        <f t="shared" si="2"/>
        <v>629.6014768</v>
      </c>
      <c r="F11" s="46">
        <v>1151.125</v>
      </c>
    </row>
    <row r="12">
      <c r="A12" s="5" t="s">
        <v>13</v>
      </c>
      <c r="B12" s="43">
        <v>1.0</v>
      </c>
      <c r="C12" s="44">
        <v>724.25</v>
      </c>
      <c r="D12" s="45">
        <f t="shared" si="1"/>
        <v>2.682</v>
      </c>
      <c r="E12" s="45">
        <f t="shared" si="2"/>
        <v>270.0410142</v>
      </c>
      <c r="F12" s="46">
        <v>2682.0</v>
      </c>
    </row>
    <row r="13">
      <c r="A13" s="5" t="s">
        <v>14</v>
      </c>
      <c r="B13" s="43">
        <v>1.0</v>
      </c>
      <c r="C13" s="44">
        <v>720.375</v>
      </c>
      <c r="D13" s="45">
        <f t="shared" si="1"/>
        <v>1.30825</v>
      </c>
      <c r="E13" s="45">
        <f t="shared" si="2"/>
        <v>550.6401682</v>
      </c>
      <c r="F13" s="46">
        <v>1308.25</v>
      </c>
    </row>
    <row r="14">
      <c r="A14" s="6" t="s">
        <v>15</v>
      </c>
      <c r="B14" s="43">
        <v>0.875</v>
      </c>
      <c r="C14" s="44">
        <v>1488.125</v>
      </c>
      <c r="D14" s="45">
        <f t="shared" si="1"/>
        <v>3.161125</v>
      </c>
      <c r="E14" s="45">
        <f t="shared" si="2"/>
        <v>470.7580371</v>
      </c>
      <c r="F14" s="46">
        <v>3161.125</v>
      </c>
    </row>
    <row r="15">
      <c r="A15" s="6" t="s">
        <v>16</v>
      </c>
      <c r="B15" s="43">
        <v>1.0</v>
      </c>
      <c r="C15" s="44">
        <v>1624.125</v>
      </c>
      <c r="D15" s="45">
        <f t="shared" si="1"/>
        <v>2.45575</v>
      </c>
      <c r="E15" s="45">
        <f t="shared" si="2"/>
        <v>661.3560012</v>
      </c>
      <c r="F15" s="46">
        <v>2455.75</v>
      </c>
    </row>
    <row r="16">
      <c r="A16" s="6" t="s">
        <v>17</v>
      </c>
      <c r="B16" s="43">
        <v>0.875</v>
      </c>
      <c r="C16" s="44">
        <v>1603.75</v>
      </c>
      <c r="D16" s="45">
        <f t="shared" si="1"/>
        <v>2.41675</v>
      </c>
      <c r="E16" s="45">
        <f t="shared" si="2"/>
        <v>663.597807</v>
      </c>
      <c r="F16" s="46">
        <v>2416.75</v>
      </c>
    </row>
    <row r="17">
      <c r="A17" s="6" t="s">
        <v>18</v>
      </c>
      <c r="B17" s="43">
        <v>1.0</v>
      </c>
      <c r="C17" s="44">
        <v>1608.125</v>
      </c>
      <c r="D17" s="45">
        <f t="shared" si="1"/>
        <v>2.352125</v>
      </c>
      <c r="E17" s="45">
        <f t="shared" si="2"/>
        <v>683.6902801</v>
      </c>
      <c r="F17" s="46">
        <v>2352.125</v>
      </c>
    </row>
    <row r="18">
      <c r="A18" s="7" t="s">
        <v>19</v>
      </c>
      <c r="B18" s="43">
        <v>0.875</v>
      </c>
      <c r="C18" s="44">
        <v>1421.875</v>
      </c>
      <c r="D18" s="45">
        <f t="shared" si="1"/>
        <v>5.9285</v>
      </c>
      <c r="E18" s="45">
        <f t="shared" si="2"/>
        <v>239.837227</v>
      </c>
      <c r="F18" s="46">
        <v>5928.5</v>
      </c>
    </row>
    <row r="19">
      <c r="A19" s="7" t="s">
        <v>20</v>
      </c>
      <c r="B19" s="43">
        <v>1.0</v>
      </c>
      <c r="C19" s="44">
        <v>1435.625</v>
      </c>
      <c r="D19" s="45">
        <f t="shared" si="1"/>
        <v>5.549625</v>
      </c>
      <c r="E19" s="45">
        <f t="shared" si="2"/>
        <v>258.6886501</v>
      </c>
      <c r="F19" s="46">
        <v>5549.625</v>
      </c>
    </row>
    <row r="20">
      <c r="A20" s="7" t="s">
        <v>21</v>
      </c>
      <c r="B20" s="43">
        <v>1.0</v>
      </c>
      <c r="C20" s="44">
        <v>1384.125</v>
      </c>
      <c r="D20" s="45">
        <f t="shared" si="1"/>
        <v>5.55625</v>
      </c>
      <c r="E20" s="45">
        <f t="shared" si="2"/>
        <v>249.1113611</v>
      </c>
      <c r="F20" s="46">
        <v>5556.25</v>
      </c>
    </row>
    <row r="21">
      <c r="A21" s="7" t="s">
        <v>22</v>
      </c>
      <c r="B21" s="43">
        <v>1.0</v>
      </c>
      <c r="C21" s="44">
        <v>1407.75</v>
      </c>
      <c r="D21" s="45">
        <f t="shared" si="1"/>
        <v>5.71175</v>
      </c>
      <c r="E21" s="45">
        <f t="shared" si="2"/>
        <v>246.4656191</v>
      </c>
      <c r="F21" s="46">
        <v>5711.75</v>
      </c>
    </row>
    <row r="24">
      <c r="A24" s="41">
        <v>1000.0</v>
      </c>
    </row>
  </sheetData>
  <drawing r:id="rId1"/>
</worksheet>
</file>