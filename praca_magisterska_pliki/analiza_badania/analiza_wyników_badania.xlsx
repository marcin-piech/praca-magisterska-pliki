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<sst xmlns="http://schemas.openxmlformats.org/spreadsheetml/2006/main" count="38" uniqueCount="38">
  <si>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System RAG</t>
  </si>
  <si>
    <t>Dokładność</t>
  </si>
  <si>
    <t>Tokeny</t>
  </si>
  <si>
    <t>Czas [s]</t>
  </si>
  <si>
    <t>Przepustowość [tok/s]</t>
  </si>
  <si>
    <t>Czas [ms]</t>
  </si>
  <si>
    <t>gpt-pdf-openai</t>
  </si>
  <si>
    <t>nieustrukturyzowane</t>
  </si>
  <si>
    <t>gpt-pdf-cohere</t>
  </si>
  <si>
    <t>gpt-scraped-openai</t>
  </si>
  <si>
    <t>gpt-scraped-cohere</t>
  </si>
  <si>
    <t>deepseek-pdf-openai</t>
  </si>
  <si>
    <t>deepseek-pdf-cohere</t>
  </si>
  <si>
    <t>deepseek-scraped-openai</t>
  </si>
  <si>
    <t>deepseek-scraped-cohere</t>
  </si>
  <si>
    <t>gemini-pdf-openai</t>
  </si>
  <si>
    <t>gemini-pdf-cohere</t>
  </si>
  <si>
    <t>gemini-scraped-openai</t>
  </si>
  <si>
    <t>gemini-scraped-cohere</t>
  </si>
  <si>
    <t>claude-pdf-openai</t>
  </si>
  <si>
    <t>claude-pdf-cohere</t>
  </si>
  <si>
    <t>claude-scraped-openai</t>
  </si>
  <si>
    <t>claude-scraped-cohere</t>
  </si>
  <si>
    <t>grok-pdf-openai</t>
  </si>
  <si>
    <t>grok-pdf-cohere</t>
  </si>
  <si>
    <t>grok-scraped-openai</t>
  </si>
  <si>
    <t>grok-scraped-cohere</t>
  </si>
  <si>
    <t>gpt-sql</t>
  </si>
  <si>
    <t>ustrukturyzowane</t>
  </si>
  <si>
    <t>gpt-csv</t>
  </si>
  <si>
    <t>deepseek-sql</t>
  </si>
  <si>
    <t>deepseek-csv</t>
  </si>
  <si>
    <t>gemini-sql</t>
  </si>
  <si>
    <t>gemini-csv</t>
  </si>
  <si>
    <t>claude-sql</t>
  </si>
  <si>
    <t>claude-csv</t>
  </si>
  <si>
    <t>grok-sql</t>
  </si>
  <si>
    <t>grok-csv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</si>
</sst>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5" fillId="0" fontId="3" numFmtId="10" xfId="0" applyAlignment="1" applyBorder="1" applyFont="1" applyNumberFormat="1">
      <alignment horizontal="right" vertical="bottom"/>
    </xf>
    <xf borderId="3" fillId="0" fontId="1" numFmtId="1" xfId="0" applyAlignment="1" applyBorder="1" applyFont="1" applyNumberFormat="1">
      <alignment horizontal="right" readingOrder="0"/>
    </xf>
    <xf borderId="3" fillId="0" fontId="1" numFmtId="2" xfId="0" applyAlignment="1" applyBorder="1" applyFont="1" applyNumberFormat="1">
      <alignment horizontal="right" readingOrder="0"/>
    </xf>
    <xf borderId="4" fillId="0" fontId="2" numFmtId="3" xfId="0" applyAlignment="1" applyBorder="1" applyFont="1" applyNumberFormat="1">
      <alignment horizontal="right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5" fillId="2" fontId="1" numFmtId="0" xfId="0" applyAlignment="1" applyBorder="1" applyFont="1">
      <alignment readingOrder="0"/>
    </xf>
    <xf borderId="0" fillId="0" fontId="1" numFmtId="1" xfId="0" applyAlignment="1" applyFont="1" applyNumberFormat="1">
      <alignment horizontal="right" readingOrder="0"/>
    </xf>
    <xf borderId="0" fillId="0" fontId="1" numFmtId="2" xfId="0" applyAlignment="1" applyFont="1" applyNumberFormat="1">
      <alignment horizontal="right" readingOrder="0"/>
    </xf>
    <xf borderId="6" fillId="0" fontId="2" numFmtId="3" xfId="0" applyAlignment="1" applyBorder="1" applyFont="1" applyNumberFormat="1">
      <alignment horizontal="right" readingOrder="0"/>
    </xf>
    <xf borderId="1" fillId="3" fontId="1" numFmtId="0" xfId="0" applyAlignment="1" applyBorder="1" applyFill="1" applyFont="1">
      <alignment readingOrder="0"/>
    </xf>
    <xf borderId="1" fillId="0" fontId="3" numFmtId="10" xfId="0" applyAlignment="1" applyBorder="1" applyFont="1" applyNumberFormat="1">
      <alignment horizontal="right" vertical="bottom"/>
    </xf>
    <xf borderId="5" fillId="3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7" fillId="0" fontId="3" numFmtId="10" xfId="0" applyAlignment="1" applyBorder="1" applyFont="1" applyNumberFormat="1">
      <alignment horizontal="right" vertical="bottom"/>
    </xf>
    <xf borderId="8" fillId="0" fontId="1" numFmtId="1" xfId="0" applyAlignment="1" applyBorder="1" applyFont="1" applyNumberFormat="1">
      <alignment horizontal="right" readingOrder="0"/>
    </xf>
    <xf borderId="8" fillId="0" fontId="1" numFmtId="2" xfId="0" applyAlignment="1" applyBorder="1" applyFont="1" applyNumberFormat="1">
      <alignment horizontal="right" readingOrder="0"/>
    </xf>
    <xf borderId="9" fillId="0" fontId="2" numFmtId="3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Średnie zużycie tokenów przy generowaniu odpowiedzi w zależności od systemu RAG dla danych nieustrukturyzowanych i ustrukturyzowanych</a:t>
            </a:r>
          </a:p>
        </c:rich>
      </c:tx>
      <c:layout>
        <c:manualLayout>
          <c:xMode val="edge"/>
          <c:yMode val="edge"/>
          <c:x val="0.04831766739174095"/>
          <c:y val="0.02076923157528534"/>
        </c:manualLayout>
      </c:layout>
      <c:overlay val="0"/>
    </c:title>
    <c:plotArea>
      <c:layout>
        <c:manualLayout>
          <c:xMode val="edge"/>
          <c:yMode val="edge"/>
          <c:x val="0.23351648351648352"/>
          <c:y val="0.0958980044345898"/>
          <c:w val="0.7176512447213084"/>
          <c:h val="0.8285585173045409"/>
        </c:manualLayout>
      </c:layout>
      <c:barChart>
        <c:barDir val="bar"/>
        <c:ser>
          <c:idx val="0"/>
          <c:order val="0"/>
          <c:tx>
            <c:strRef>
              <c:f>Sheet1!$C$1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Pt>
            <c:idx val="4"/>
          </c:dPt>
          <c:dPt>
            <c:idx val="2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Sheet1!$A$2:$A$31</c:f>
            </c:strRef>
          </c:cat>
          <c:val>
            <c:numRef>
              <c:f>Sheet1!$C$2:$C$31</c:f>
              <c:numCache/>
            </c:numRef>
          </c:val>
        </c:ser>
        <c:axId val="1236197909"/>
        <c:axId val="1675218755"/>
      </c:barChart>
      <c:catAx>
        <c:axId val="12361979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layout>
            <c:manualLayout>
              <c:xMode val="edge"/>
              <c:yMode val="edge"/>
              <c:x val="0.02795315088308719"/>
              <c:y val="0.0733695652173913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218755"/>
      </c:catAx>
      <c:valAx>
        <c:axId val="16752187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Tokeny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1979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dokładność odpowiedzi w zależności od systemu RAG dla danych nieustrukturyzowanych i ustrukturyzowanych</a:t>
            </a:r>
          </a:p>
        </c:rich>
      </c:tx>
      <c:layout>
        <c:manualLayout>
          <c:xMode val="edge"/>
          <c:yMode val="edge"/>
          <c:x val="0.04767879548306148"/>
          <c:y val="0.01826842105263158"/>
        </c:manualLayout>
      </c:layout>
      <c:overlay val="0"/>
    </c:title>
    <c:plotArea>
      <c:layout>
        <c:manualLayout>
          <c:xMode val="edge"/>
          <c:yMode val="edge"/>
          <c:x val="0.27126725219573405"/>
          <c:y val="0.09144736842105264"/>
          <c:w val="0.6810539523212045"/>
          <c:h val="0.8210526315789474"/>
        </c:manualLayout>
      </c:layout>
      <c:barChart>
        <c:barDir val="bar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Sheet1!$A$2:$A$31</c:f>
            </c:strRef>
          </c:cat>
          <c:val>
            <c:numRef>
              <c:f>Sheet1!$B$2:$B$31</c:f>
              <c:numCache/>
            </c:numRef>
          </c:val>
        </c:ser>
        <c:axId val="428847280"/>
        <c:axId val="1229142853"/>
      </c:barChart>
      <c:catAx>
        <c:axId val="4288472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142853"/>
      </c:catAx>
      <c:valAx>
        <c:axId val="12291428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Dokładność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8472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przepustowość w zależności od systemu RAG dla danych nieustrukturyzowanych i ustrukturyzowanych</a:t>
            </a:r>
          </a:p>
        </c:rich>
      </c:tx>
      <c:layout>
        <c:manualLayout>
          <c:xMode val="edge"/>
          <c:yMode val="edge"/>
          <c:x val="0.04990650847901316"/>
          <c:y val="0.011092188266101314"/>
        </c:manualLayout>
      </c:layout>
      <c:overlay val="0"/>
    </c:title>
    <c:plotArea>
      <c:layout>
        <c:manualLayout>
          <c:xMode val="edge"/>
          <c:yMode val="edge"/>
          <c:x val="0.2671094690132371"/>
          <c:y val="0.09224441833137485"/>
          <c:w val="0.682890530986763"/>
          <c:h val="0.818594742507786"/>
        </c:manualLayout>
      </c:layout>
      <c:barChart>
        <c:barDir val="bar"/>
        <c:ser>
          <c:idx val="0"/>
          <c:order val="0"/>
          <c:tx>
            <c:strRef>
              <c:f>Sheet1!$E$1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Sheet1!$A$2:$A$31</c:f>
            </c:strRef>
          </c:cat>
          <c:val>
            <c:numRef>
              <c:f>Sheet1!$E$2:$E$31</c:f>
              <c:numCache/>
            </c:numRef>
          </c:val>
        </c:ser>
        <c:axId val="598394134"/>
        <c:axId val="1232496702"/>
      </c:barChart>
      <c:catAx>
        <c:axId val="5983941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496702"/>
      </c:catAx>
      <c:valAx>
        <c:axId val="1232496702"/>
        <c:scaling>
          <c:orientation val="minMax"/>
          <c:max val="11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Przepustowość [tok/s]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3941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 czas generowania odpowiedzi w zależności od systemu RAG dla danych nieustrukturyzowanych i ustrukturyzowanych</a:t>
            </a:r>
          </a:p>
        </c:rich>
      </c:tx>
      <c:layout>
        <c:manualLayout>
          <c:xMode val="edge"/>
          <c:yMode val="edge"/>
          <c:x val="0.05"/>
          <c:y val="0.014689333371001305"/>
        </c:manualLayout>
      </c:layout>
      <c:overlay val="0"/>
    </c:title>
    <c:plotArea>
      <c:layout>
        <c:manualLayout>
          <c:xMode val="edge"/>
          <c:yMode val="edge"/>
          <c:x val="0.26710946901323707"/>
          <c:y val="0.08578947368421053"/>
          <c:w val="0.682890530986763"/>
          <c:h val="0.843737275286983"/>
        </c:manualLayout>
      </c:layout>
      <c:barChart>
        <c:barDir val="bar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Sheet1!$A$2:$A$31</c:f>
            </c:strRef>
          </c:cat>
          <c:val>
            <c:numRef>
              <c:f>Sheet1!$D$2:$D$31</c:f>
              <c:numCache/>
            </c:numRef>
          </c:val>
        </c:ser>
        <c:axId val="1753630550"/>
        <c:axId val="1516348051"/>
      </c:barChart>
      <c:catAx>
        <c:axId val="17536305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System 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348051"/>
      </c:catAx>
      <c:valAx>
        <c:axId val="1516348051"/>
        <c:scaling>
          <c:orientation val="minMax"/>
          <c:max val="9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Czas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6305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33</xdr:row>
      <xdr:rowOff>171450</xdr:rowOff>
    </xdr:from>
    <xdr:ext cx="8582025" cy="8591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714375</xdr:colOff>
      <xdr:row>0</xdr:row>
      <xdr:rowOff>161925</xdr:rowOff>
    </xdr:from>
    <xdr:ext cx="7915275" cy="8763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85725</xdr:rowOff>
    </xdr:from>
    <xdr:ext cx="8582025" cy="8105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657225</xdr:colOff>
      <xdr:row>46</xdr:row>
      <xdr:rowOff>47625</xdr:rowOff>
    </xdr:from>
    <xdr:ext cx="7915275" cy="9048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1.0"/>
    <col customWidth="1" min="3" max="3" width="8.75"/>
    <col customWidth="1" min="4" max="4" width="8.88"/>
    <col customWidth="1" min="5" max="5" width="17.38"/>
    <col customWidth="1" min="6" max="6" width="9.63"/>
    <col customWidth="1" min="7" max="7" width="18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 t="s">
        <v>6</v>
      </c>
      <c r="B2" s="6">
        <v>1.0</v>
      </c>
      <c r="C2" s="7">
        <v>938.0</v>
      </c>
      <c r="D2" s="8">
        <f t="shared" ref="D2:D31" si="1">F2/$A$33</f>
        <v>3.877</v>
      </c>
      <c r="E2" s="8">
        <f t="shared" ref="E2:E31" si="2">C2/D2</f>
        <v>241.9396441</v>
      </c>
      <c r="F2" s="9">
        <v>3877.0</v>
      </c>
      <c r="G2" s="10" t="s">
        <v>7</v>
      </c>
      <c r="I2" s="11"/>
      <c r="J2" s="12"/>
    </row>
    <row r="3">
      <c r="A3" s="13" t="s">
        <v>8</v>
      </c>
      <c r="B3" s="6">
        <v>1.0</v>
      </c>
      <c r="C3" s="14">
        <v>929.0</v>
      </c>
      <c r="D3" s="15">
        <f t="shared" si="1"/>
        <v>3.206</v>
      </c>
      <c r="E3" s="15">
        <f t="shared" si="2"/>
        <v>289.7691828</v>
      </c>
      <c r="F3" s="16">
        <v>3206.0</v>
      </c>
      <c r="I3" s="11"/>
      <c r="J3" s="12"/>
    </row>
    <row r="4">
      <c r="A4" s="13" t="s">
        <v>9</v>
      </c>
      <c r="B4" s="6">
        <v>1.0</v>
      </c>
      <c r="C4" s="14">
        <v>954.0</v>
      </c>
      <c r="D4" s="15">
        <f t="shared" si="1"/>
        <v>3.771</v>
      </c>
      <c r="E4" s="15">
        <f t="shared" si="2"/>
        <v>252.9832936</v>
      </c>
      <c r="F4" s="16">
        <v>3771.0</v>
      </c>
    </row>
    <row r="5">
      <c r="A5" s="13" t="s">
        <v>10</v>
      </c>
      <c r="B5" s="6">
        <v>1.0</v>
      </c>
      <c r="C5" s="14">
        <v>921.0</v>
      </c>
      <c r="D5" s="15">
        <f t="shared" si="1"/>
        <v>3.2</v>
      </c>
      <c r="E5" s="15">
        <f t="shared" si="2"/>
        <v>287.8125</v>
      </c>
      <c r="F5" s="16">
        <v>3200.0</v>
      </c>
    </row>
    <row r="6">
      <c r="A6" s="13" t="s">
        <v>11</v>
      </c>
      <c r="B6" s="6">
        <v>1.0</v>
      </c>
      <c r="C6" s="14">
        <v>1218.0</v>
      </c>
      <c r="D6" s="15">
        <f t="shared" si="1"/>
        <v>6.534</v>
      </c>
      <c r="E6" s="15">
        <f t="shared" si="2"/>
        <v>186.40955</v>
      </c>
      <c r="F6" s="16">
        <v>6534.0</v>
      </c>
    </row>
    <row r="7">
      <c r="A7" s="13" t="s">
        <v>12</v>
      </c>
      <c r="B7" s="6">
        <v>1.0</v>
      </c>
      <c r="C7" s="14">
        <v>1167.0</v>
      </c>
      <c r="D7" s="15">
        <f t="shared" si="1"/>
        <v>5.622</v>
      </c>
      <c r="E7" s="15">
        <f t="shared" si="2"/>
        <v>207.5773746</v>
      </c>
      <c r="F7" s="16">
        <v>5622.0</v>
      </c>
    </row>
    <row r="8">
      <c r="A8" s="13" t="s">
        <v>13</v>
      </c>
      <c r="B8" s="6">
        <v>1.0</v>
      </c>
      <c r="C8" s="14">
        <v>1218.0</v>
      </c>
      <c r="D8" s="15">
        <f t="shared" si="1"/>
        <v>5.88</v>
      </c>
      <c r="E8" s="15">
        <f t="shared" si="2"/>
        <v>207.1428571</v>
      </c>
      <c r="F8" s="16">
        <v>5880.0</v>
      </c>
    </row>
    <row r="9">
      <c r="A9" s="13" t="s">
        <v>14</v>
      </c>
      <c r="B9" s="6">
        <v>1.0</v>
      </c>
      <c r="C9" s="14">
        <v>1208.0</v>
      </c>
      <c r="D9" s="15">
        <f t="shared" si="1"/>
        <v>5.489</v>
      </c>
      <c r="E9" s="15">
        <f t="shared" si="2"/>
        <v>220.0765167</v>
      </c>
      <c r="F9" s="16">
        <v>5489.0</v>
      </c>
    </row>
    <row r="10">
      <c r="A10" s="13" t="s">
        <v>15</v>
      </c>
      <c r="B10" s="6">
        <v>0.75</v>
      </c>
      <c r="C10" s="14">
        <v>718.0</v>
      </c>
      <c r="D10" s="15">
        <f t="shared" si="1"/>
        <v>3.364</v>
      </c>
      <c r="E10" s="15">
        <f t="shared" si="2"/>
        <v>213.4363853</v>
      </c>
      <c r="F10" s="16">
        <v>3364.0</v>
      </c>
    </row>
    <row r="11">
      <c r="A11" s="13" t="s">
        <v>16</v>
      </c>
      <c r="B11" s="6">
        <v>1.0</v>
      </c>
      <c r="C11" s="14">
        <v>725.0</v>
      </c>
      <c r="D11" s="15">
        <f t="shared" si="1"/>
        <v>1.151</v>
      </c>
      <c r="E11" s="15">
        <f t="shared" si="2"/>
        <v>629.8870547</v>
      </c>
      <c r="F11" s="16">
        <v>1151.0</v>
      </c>
    </row>
    <row r="12">
      <c r="A12" s="13" t="s">
        <v>17</v>
      </c>
      <c r="B12" s="6">
        <v>1.0</v>
      </c>
      <c r="C12" s="14">
        <v>724.0</v>
      </c>
      <c r="D12" s="15">
        <f t="shared" si="1"/>
        <v>2.682</v>
      </c>
      <c r="E12" s="15">
        <f t="shared" si="2"/>
        <v>269.9478001</v>
      </c>
      <c r="F12" s="16">
        <v>2682.0</v>
      </c>
    </row>
    <row r="13">
      <c r="A13" s="13" t="s">
        <v>18</v>
      </c>
      <c r="B13" s="6">
        <v>1.0</v>
      </c>
      <c r="C13" s="14">
        <v>720.0</v>
      </c>
      <c r="D13" s="15">
        <f t="shared" si="1"/>
        <v>1.308</v>
      </c>
      <c r="E13" s="15">
        <f t="shared" si="2"/>
        <v>550.4587156</v>
      </c>
      <c r="F13" s="16">
        <v>1308.0</v>
      </c>
    </row>
    <row r="14">
      <c r="A14" s="13" t="s">
        <v>19</v>
      </c>
      <c r="B14" s="6">
        <v>0.875</v>
      </c>
      <c r="C14" s="14">
        <v>1488.0</v>
      </c>
      <c r="D14" s="15">
        <f t="shared" si="1"/>
        <v>3.161</v>
      </c>
      <c r="E14" s="15">
        <f t="shared" si="2"/>
        <v>470.7371085</v>
      </c>
      <c r="F14" s="16">
        <v>3161.0</v>
      </c>
    </row>
    <row r="15">
      <c r="A15" s="13" t="s">
        <v>20</v>
      </c>
      <c r="B15" s="6">
        <v>1.0</v>
      </c>
      <c r="C15" s="14">
        <v>1624.0</v>
      </c>
      <c r="D15" s="15">
        <f t="shared" si="1"/>
        <v>2.456</v>
      </c>
      <c r="E15" s="15">
        <f t="shared" si="2"/>
        <v>661.237785</v>
      </c>
      <c r="F15" s="16">
        <v>2456.0</v>
      </c>
    </row>
    <row r="16">
      <c r="A16" s="13" t="s">
        <v>21</v>
      </c>
      <c r="B16" s="6">
        <v>0.875</v>
      </c>
      <c r="C16" s="14">
        <v>1604.0</v>
      </c>
      <c r="D16" s="15">
        <f t="shared" si="1"/>
        <v>2.417</v>
      </c>
      <c r="E16" s="15">
        <f t="shared" si="2"/>
        <v>663.6326024</v>
      </c>
      <c r="F16" s="16">
        <v>2417.0</v>
      </c>
    </row>
    <row r="17">
      <c r="A17" s="13" t="s">
        <v>22</v>
      </c>
      <c r="B17" s="6">
        <v>1.0</v>
      </c>
      <c r="C17" s="14">
        <v>1608.0</v>
      </c>
      <c r="D17" s="15">
        <f t="shared" si="1"/>
        <v>2.352</v>
      </c>
      <c r="E17" s="15">
        <f t="shared" si="2"/>
        <v>683.6734694</v>
      </c>
      <c r="F17" s="16">
        <v>2352.0</v>
      </c>
    </row>
    <row r="18">
      <c r="A18" s="13" t="s">
        <v>23</v>
      </c>
      <c r="B18" s="6">
        <v>0.875</v>
      </c>
      <c r="C18" s="14">
        <v>1422.0</v>
      </c>
      <c r="D18" s="15">
        <f t="shared" si="1"/>
        <v>5.929</v>
      </c>
      <c r="E18" s="15">
        <f t="shared" si="2"/>
        <v>239.838084</v>
      </c>
      <c r="F18" s="16">
        <v>5929.0</v>
      </c>
    </row>
    <row r="19">
      <c r="A19" s="13" t="s">
        <v>24</v>
      </c>
      <c r="B19" s="6">
        <v>1.0</v>
      </c>
      <c r="C19" s="14">
        <v>1436.0</v>
      </c>
      <c r="D19" s="15">
        <f t="shared" si="1"/>
        <v>5.55</v>
      </c>
      <c r="E19" s="15">
        <f t="shared" si="2"/>
        <v>258.7387387</v>
      </c>
      <c r="F19" s="16">
        <v>5550.0</v>
      </c>
    </row>
    <row r="20">
      <c r="A20" s="13" t="s">
        <v>25</v>
      </c>
      <c r="B20" s="6">
        <v>1.0</v>
      </c>
      <c r="C20" s="14">
        <v>1384.0</v>
      </c>
      <c r="D20" s="15">
        <f t="shared" si="1"/>
        <v>5.556</v>
      </c>
      <c r="E20" s="15">
        <f t="shared" si="2"/>
        <v>249.100072</v>
      </c>
      <c r="F20" s="16">
        <v>5556.0</v>
      </c>
    </row>
    <row r="21">
      <c r="A21" s="13" t="s">
        <v>26</v>
      </c>
      <c r="B21" s="6">
        <v>1.0</v>
      </c>
      <c r="C21" s="14">
        <v>1408.0</v>
      </c>
      <c r="D21" s="15">
        <f t="shared" si="1"/>
        <v>5.712</v>
      </c>
      <c r="E21" s="15">
        <f t="shared" si="2"/>
        <v>246.4985994</v>
      </c>
      <c r="F21" s="16">
        <v>5712.0</v>
      </c>
    </row>
    <row r="22">
      <c r="A22" s="17" t="s">
        <v>27</v>
      </c>
      <c r="B22" s="18">
        <v>0.875</v>
      </c>
      <c r="C22" s="7">
        <v>1546.0</v>
      </c>
      <c r="D22" s="8">
        <f t="shared" si="1"/>
        <v>7.008</v>
      </c>
      <c r="E22" s="8">
        <f t="shared" si="2"/>
        <v>220.6050228</v>
      </c>
      <c r="F22" s="9">
        <v>7008.0</v>
      </c>
      <c r="G22" s="10" t="s">
        <v>28</v>
      </c>
    </row>
    <row r="23">
      <c r="A23" s="19" t="s">
        <v>29</v>
      </c>
      <c r="B23" s="6">
        <v>0.875</v>
      </c>
      <c r="C23" s="14">
        <v>1344.0</v>
      </c>
      <c r="D23" s="15">
        <f t="shared" si="1"/>
        <v>4.434</v>
      </c>
      <c r="E23" s="15">
        <f t="shared" si="2"/>
        <v>303.1123139</v>
      </c>
      <c r="F23" s="16">
        <v>4434.0</v>
      </c>
    </row>
    <row r="24">
      <c r="A24" s="19" t="s">
        <v>30</v>
      </c>
      <c r="B24" s="6">
        <v>1.0</v>
      </c>
      <c r="C24" s="14">
        <v>1734.0</v>
      </c>
      <c r="D24" s="15">
        <f t="shared" si="1"/>
        <v>8.404</v>
      </c>
      <c r="E24" s="15">
        <f t="shared" si="2"/>
        <v>206.3303189</v>
      </c>
      <c r="F24" s="16">
        <v>8404.0</v>
      </c>
    </row>
    <row r="25">
      <c r="A25" s="19" t="s">
        <v>31</v>
      </c>
      <c r="B25" s="6">
        <v>0.875</v>
      </c>
      <c r="C25" s="14">
        <v>1994.0</v>
      </c>
      <c r="D25" s="15">
        <f t="shared" si="1"/>
        <v>6.493</v>
      </c>
      <c r="E25" s="15">
        <f t="shared" si="2"/>
        <v>307.0999538</v>
      </c>
      <c r="F25" s="16">
        <v>6493.0</v>
      </c>
    </row>
    <row r="26">
      <c r="A26" s="19" t="s">
        <v>32</v>
      </c>
      <c r="B26" s="6">
        <v>0.75</v>
      </c>
      <c r="C26" s="14">
        <v>1146.0</v>
      </c>
      <c r="D26" s="15">
        <f t="shared" si="1"/>
        <v>1.294</v>
      </c>
      <c r="E26" s="15">
        <f t="shared" si="2"/>
        <v>885.625966</v>
      </c>
      <c r="F26" s="16">
        <v>1294.0</v>
      </c>
    </row>
    <row r="27">
      <c r="A27" s="19" t="s">
        <v>33</v>
      </c>
      <c r="B27" s="6">
        <v>0.875</v>
      </c>
      <c r="C27" s="14">
        <v>1099.0</v>
      </c>
      <c r="D27" s="15">
        <f t="shared" si="1"/>
        <v>1.35</v>
      </c>
      <c r="E27" s="15">
        <f t="shared" si="2"/>
        <v>814.0740741</v>
      </c>
      <c r="F27" s="16">
        <v>1350.0</v>
      </c>
    </row>
    <row r="28">
      <c r="A28" s="19" t="s">
        <v>34</v>
      </c>
      <c r="B28" s="6">
        <v>1.0</v>
      </c>
      <c r="C28" s="14">
        <v>2047.0</v>
      </c>
      <c r="D28" s="15">
        <f t="shared" si="1"/>
        <v>3.697</v>
      </c>
      <c r="E28" s="15">
        <f t="shared" si="2"/>
        <v>553.6921829</v>
      </c>
      <c r="F28" s="16">
        <v>3697.0</v>
      </c>
    </row>
    <row r="29">
      <c r="A29" s="19" t="s">
        <v>35</v>
      </c>
      <c r="B29" s="6">
        <v>0.875</v>
      </c>
      <c r="C29" s="14">
        <v>2424.0</v>
      </c>
      <c r="D29" s="15">
        <f t="shared" si="1"/>
        <v>2.235</v>
      </c>
      <c r="E29" s="15">
        <f t="shared" si="2"/>
        <v>1084.563758</v>
      </c>
      <c r="F29" s="16">
        <v>2235.0</v>
      </c>
    </row>
    <row r="30">
      <c r="A30" s="19" t="s">
        <v>36</v>
      </c>
      <c r="B30" s="6">
        <v>0.875</v>
      </c>
      <c r="C30" s="14">
        <v>1998.0</v>
      </c>
      <c r="D30" s="15">
        <f t="shared" si="1"/>
        <v>6.867</v>
      </c>
      <c r="E30" s="15">
        <f t="shared" si="2"/>
        <v>290.9567497</v>
      </c>
      <c r="F30" s="16">
        <v>6867.0</v>
      </c>
    </row>
    <row r="31">
      <c r="A31" s="20" t="s">
        <v>37</v>
      </c>
      <c r="B31" s="21">
        <v>0.625</v>
      </c>
      <c r="C31" s="22">
        <v>2129.0</v>
      </c>
      <c r="D31" s="23">
        <f t="shared" si="1"/>
        <v>6.065</v>
      </c>
      <c r="E31" s="23">
        <f t="shared" si="2"/>
        <v>351.0305029</v>
      </c>
      <c r="F31" s="24">
        <v>6065.0</v>
      </c>
    </row>
    <row r="33">
      <c r="A33" s="25">
        <v>1000.0</v>
      </c>
    </row>
  </sheetData>
  <mergeCells count="2">
    <mergeCell ref="G2:G21"/>
    <mergeCell ref="G22:G31"/>
  </mergeCells>
  <drawing r:id="rId1"/>
</worksheet>
</file>