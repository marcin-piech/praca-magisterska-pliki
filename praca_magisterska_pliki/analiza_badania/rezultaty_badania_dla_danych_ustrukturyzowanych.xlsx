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powiedzi" sheetId="1" r:id="rId5"/>
    <sheet state="visible" name="Koszta" sheetId="2" r:id="rId6"/>
    <sheet state="visible" name="Analiza wyników" sheetId="3" r:id="rId7"/>
  </sheets>
  <definedNames/>
  <calcPr/>
</workbook>
</file>

<file path=xl/sharedStrings.xml><?xml version="1.0" encoding="utf-8"?>
<sst xmlns="http://schemas.openxmlformats.org/spreadsheetml/2006/main" count="183" uniqueCount="104">
  <si>
    <t>Kategoria</t>
  </si>
  <si>
    <t>Index</t>
  </si>
  <si>
    <t>Pytanie</t>
  </si>
  <si>
    <t>gpt-sql</t>
  </si>
  <si>
    <t>gpt-csv</t>
  </si>
  <si>
    <t>deepseek-sql</t>
  </si>
  <si>
    <t>deepseek-csv</t>
  </si>
  <si>
    <t>gemini-sql</t>
  </si>
  <si>
    <t>gemini-csv</t>
  </si>
  <si>
    <t>claude-sql</t>
  </si>
  <si>
    <t>claude-csv</t>
  </si>
  <si>
    <t>grok-sql</t>
  </si>
  <si>
    <t>grok-csv</t>
  </si>
  <si>
    <t>Simple</t>
  </si>
  <si>
    <t>Ile produktów jest w bazie?</t>
  </si>
  <si>
    <t>W bazie znajduje się 100 produktów.</t>
  </si>
  <si>
    <t>W bazie danych znajduje się 100 produktów.</t>
  </si>
  <si>
    <t>Zgodnie z nazwą tabeli "products100" oraz strukturą danych, w bazie znajduje się **100 produktów**. Tabela zawiera 13 kolumn z informacjami o produktach, w tym nazwę, cenę, stan magazynowy, markę, kategorię i inne szczegóły.</t>
  </si>
  <si>
    <t>W bazie danych jest **100 produktów**.</t>
  </si>
  <si>
    <t>Baza danych zawiera **100 produktów** (jak wskazuje nazwa tabeli "products100"). Struktura bazy obejmuje 13 kolumn z informacjami takimi jak nazwa, opis, marka, kategoria, cena, waluta, stan magazynowy, dostępność i cechy specyficzne produktów.</t>
  </si>
  <si>
    <t>W bazie produktów znajduje się **100 produktów**.</t>
  </si>
  <si>
    <t>Niestety, nie umiem odpowiedzieć na to pytanie na podstawie dostępnej bazy danych.</t>
  </si>
  <si>
    <t>Ile kosztuje rower?</t>
  </si>
  <si>
    <t>Rower (nazwa: "Bicycle") kosztuje 234 USD. Dostępność: backorder; stan magazynowy: 394 szt.</t>
  </si>
  <si>
    <t>Rower (Bicycle) kosztuje 234 USD.</t>
  </si>
  <si>
    <t>Na podstawie bazy danych mamy dwa produkty związane z rowerami:
1. **Premium Bicycle Microphone** - mikrofon rowerowy w cenie 480 USD, ale produkt jest wycofany z produkcji
2. **Bicycle** - rower w cenie 234 USD, dostępny na zamówienie
Rowery kosztują odpowiednio:
- Rower (Bicycle): 234 USD
- Premium Bicycle Microphone: 480 USD (mikrofon rowerowy)
Warto zauważyć, że mikrofon rowerowy jest produktem wycofanym, a rower jest dostępny na zamówienie.</t>
  </si>
  <si>
    <t>W bazie danych znajduje się produkt "Bicycle", który kosztuje **234 USD**.</t>
  </si>
  <si>
    <t>Niestety, nie umiem odpowiedzieć na to pytanie na podstawie dostępnej bazy danych. W asortymencie nie znaleziono produktów pasujących do zapytania o rower.</t>
  </si>
  <si>
    <t>W bazie danych znajduje się jeden dostępny rower:
**Bicycle** – **234 USD** (aktualnie w przedsprzedaży)
Dostępny jest również "Premium Bicycle Microphone" za 480 USD, ale ten produkt jest wycofany z oferty.
Jeśli interesuje Cię konkretny typ roweru lub chcesz poznać więcej szczegółów, daj mi znać!</t>
  </si>
  <si>
    <t>Rower w naszym asortymencie kosztuje **234 USD**. Produkt jest marki Hays-Cunningham, ale niestety jest na zamówieniu (backorder).</t>
  </si>
  <si>
    <t>W bazie danych znaleziono dwa produkty związane z rowerem (bicycle):
- **Bicycle**: 234 USD (stan: backorder, 394 szt. w magazynie).
- **Premium Bicycle Microphone**: 480 USD (stan: discontinued, 364 szt. w magazynie).</t>
  </si>
  <si>
    <t>Rower „Bicycle” (Index 37) kosztuje **234 USD**.  
Jest dostępny w magazynie w ilości 394 sztuk (status: backorder).</t>
  </si>
  <si>
    <t>Moderate</t>
  </si>
  <si>
    <t>Które produkty kosztują więcej niż 920 USD?</t>
  </si>
  <si>
    <t>Produkty kosztujące więcej niż 920 USD:
- Ultra Speakerphone Oven Go Smart X — 999 USD  
- Fast Keyboard — 998 USD  
- Clock Brush — 985 USD  
- Eco Iron Monitor Air — 982 USD  
- Fast Fan — 982 USD  
- Rechargeable Projector Pro — 935 USD</t>
  </si>
  <si>
    <t>[ERROR: Validation error with data table request: value 'Price &gt; 920' does not match column type 'number': 'Price' expects a number but we got 'Price &gt; 920']</t>
  </si>
  <si>
    <t>Na podstawie bazy danych, produkty kosztujące więcej niż 920 USD to:
1. **Ultra Speakerphone Oven Go Smart X** - 999 USD (dostępność: pre-order)
2. **Fast Keyboard** - 998 USD (dostępność: limited stock)
3. **Clock Brush** - 985 USD (dostępność: in stock)
4. **Eco Iron Monitor Air** - 982 USD (dostępność: out of stock)
5. **Fast Fan** - 982 USD (dostępność: backorder)
6. **Rechargeable Projector Pro** - 935 USD (dostępność: limited stock)
Łącznie jest 6 produktów o cenie przekraczającej 920 USD.</t>
  </si>
  <si>
    <t>W naszej ofercie znajduje się 6 produktów, których cena przekracza 920 USD:
*   **Ultra Speakerphone Oven Go Smart X** – 999 USD
*   **Fast Keyboard** – 998 USD
*   **Clock Brush** – 985 USD
*   **Eco Iron Monitor Air** – 982 USD
*   **Fast Fan** – 982 USD
*   **Rechargeable Projector Pro** – 935 USD</t>
  </si>
  <si>
    <t>Poniżej znajduje się lista produktów kosztujących więcej niż 920 USD:
1. **Ultra Speakerphone Oven Go Smart X** – 999 USD (pre_order, 853 szt.)
2. **Fast Keyboard** – 998 USD (limited_stock, 10 szt.)
3. **Clock Brush** – 985 USD (in_stock, 180 szt.)
4. **Eco Iron Monitor Air** – 982 USD (out_of_stock, 47 szt.)
5. **Fast Fan** – 982 USD (backorder, 804 szt.)
6. **Rechargeable Projector Pro** – 935 USD (limited_stock, 55 szt.)
W sumie znaleźliśmy **6 produktów** w tej cenie.</t>
  </si>
  <si>
    <t>Oto produkty droższe niż 920 USD (wszystkie w walucie USD):
| Nazwa produktu              | Cena (USD) |
|-----------------------------|------------|
| Ultra Speakerphone Oven Go Smart X | 999      |
| Fast Keyboard               | 998        |
| Clock Brush                 | 985        |
| Eco Iron Monitor Air        | 982        |
| Fast Fan                    | 982        |
| Rechargeable Projector Pro  | 935        |</t>
  </si>
  <si>
    <t>Wypisz produkty, których 'Internal_ID' wynosi 3.</t>
  </si>
  <si>
    <t>Znaleziono 2 produkty o Internal ID = 3:
- Smart Webcam Projector Lock — Cena: 440 USD; Stan magazynowy: 973; Dostępność: in_stock  
- Smart Lamp — Cena: 71 USD; Stan magazynowy: 518; Dostępność: limited_stock</t>
  </si>
  <si>
    <t>Znaleziono 2 produkty o Internal_ID = 3:
- Smart Webcam Projector Lock — Price: 440 USD, Stock: 973, Availability: in_stock.
- Smart Lamp — Price: 71 USD, Stock: 518, Availability: limited_stock.</t>
  </si>
  <si>
    <t>Znaleziono 2 produkty z 'Internal ID' = 3:
1. **Smart Webcam Projector Lock**
   - Cena: 440 USD
   - Stan magazynowy: 973 sztuki
   - Kategoria: Men's Clothing
   - Dostępność: in_stock
2. **Smart Lamp**
   - Cena: 71 USD
   - Stan magazynowy: 518 sztuk
   - Kategoria: Bedding &amp; Bath
   - Dostępność: limited_stock</t>
  </si>
  <si>
    <t>Znaleziono 2 produkty o Internal_ID = 3:
1. **Smart Webcam Projector Lock** - Cena: 440 USD, Stan magazynowy: 973 szt., Dostępność: w magazynie
2. **Smart Lamp** - Cena: 71 USD, Stan magazynowy: 518 szt., Dostępność: ograniczona ilość
Oba produkty mają identyfikator wewnętrzny równy 3.</t>
  </si>
  <si>
    <t>Produkty o numerze Internal ID 3 to:
*   **Smart Webcam Projector Lock** marki Stokes Inc (440 USD)
*   **Smart Lamp** marki Hebert, Hughes and Trujillo (71 USD)</t>
  </si>
  <si>
    <t>Produkty o identyfikatorze Internal_ID równym 3 to:
*   **Smart Webcam Projector Lock** (Marka: Stokes Inc, Cena: 440 USD)
*   **Smart Lamp** (Marka: Hebert, Hughes and Trujillo, Cena: 71 USD)</t>
  </si>
  <si>
    <t>Znaleźliśmy 2 produkty o Internal ID = 3:
1. **Smart Webcam Projector Lock** - Marka: Stokes Inc, Kategoria: Men's Clothing, Cena: 440 USD, Stan magazynu: 973 szt., Dostępność: in_stock
2. **Smart Lamp** - Marka: Hebert, Hughes and Trujillo, Kategoria: Bedding &amp; Bath, Cena: 71 USD, Stan magazynu: 518 szt., Dostępność: limited_stock</t>
  </si>
  <si>
    <t>W bazie danych znajdują się **2 produkty** o Internal_ID = 3:
| Index | Nazwa | Marka | Kategoria | Cena | Waluta | Stan magazynu | Dostępność |
|-------|-------|-------|-----------|------|--------|----------------|-----------|
| 61 | Smart Webcam Projector Lock | Stokes Inc | Men's Clothing | $440 | USD | 973 | in_stock |
| 100 | Smart Lamp | Hebert, Hughes and Trujillo | Bedding &amp; Bath | $71 | USD | 518 | limited_stock |</t>
  </si>
  <si>
    <t>Oto produkty o "Internal ID" = 3:
- **Smart Webcam Projector Lock** (Stokes Inc, Men's Clothing): Cena 440, Stock 973, Dostępność: in_stock.
- **Smart Lamp** (Hebert, Hughes and Trujillo, Bedding &amp; Bath): Cena 71, Stock 518, Dostępność: limited_stock.</t>
  </si>
  <si>
    <t>Oto produkty o Internal_ID = 3:
- **Smart Webcam Projector Lock** (Index: 61, Cena: 440 USD, Stan magazynowy: 973)
- **Smart Lamp** (Index: 100, Cena: 71 USD, Stan magazynowy: 518)</t>
  </si>
  <si>
    <t>Challenging</t>
  </si>
  <si>
    <t>Ile łącznie kosztują produkty: Smart Lamp, Eco Radio i Fast Keyboard?</t>
  </si>
  <si>
    <t>Łączny koszt produktów Smart Lamp, Eco Radio i Fast Keyboard wynosi 1523 USD.</t>
  </si>
  <si>
    <t>Łączny koszt tych produktów wynosi 1523 USD.</t>
  </si>
  <si>
    <t>Łączna cena produktów Smart Lamp, Eco Radio i Fast Keyboard wynosi **1523 USD**.
Szczegóły cen poszczególnych produktów:
- Eco Radio: 454 USD
- Fast Keyboard: 998 USD  
- Smart Lamp: 71 USD
Wszystkie produkty są wycenione w dolarach amerykańskich (USD).</t>
  </si>
  <si>
    <t>Łączna cena produktów Smart Lamp, Eco Radio i Fast Keyboard wynosi **1523 USD**.
Szczegóły cen poszczególnych produktów:
- Smart Lamp: 71 USD
- Eco Radio: 454 USD  
- Fast Keyboard: 998 USD</t>
  </si>
  <si>
    <t>Wymienione produkty kosztują łącznie 1523 USD. Na tę kwotę składają się: Eco Radio (454 USD), Fast Keyboard (998 USD) oraz Smart Lamp (71 USD).</t>
  </si>
  <si>
    <t>Łączny koszt produktów Smart Lamp (71 USD), Eco Radio (454 USD) oraz Fast Keyboard (998 USD) wynosi 1523 USD.</t>
  </si>
  <si>
    <t>Łączny koszt trzech produktów wynosi **1523 USD**.
Rozkład:
- Smart Lamp: 71 USD
- Eco Radio: 454 USD
- Fast Keyboard: 998 USD</t>
  </si>
  <si>
    <t>Łączny koszt trzech produktów wynosi **1523 USD**.
Rozkład cen:
- Smart Lamp: 71 USD
- Eco Radio: 454 USD
- Fast Keyboard: 998 USD</t>
  </si>
  <si>
    <t>Łączna wartość magazynowa produktów Smart Lamp, Eco Radio i Fast Keyboard wynosi **273 304 USD**.</t>
  </si>
  <si>
    <t>Jaka jest łączna wartość magazynowa (Price × Stock) produktów dostępnych jako 'out_of_stock'?</t>
  </si>
  <si>
    <t>Łączna wartość magazynowa produktów o statusie 'out_of_stock' wynosi 3 219 633.</t>
  </si>
  <si>
    <t>Łączna wartość magazynowa produktów o statusie "out_of_stock" wynosi 3,219,633 USD.</t>
  </si>
  <si>
    <t>Łączna wartość magazynowa produktów dostępnych jako 'out_of_stock' wynosi **3,219,633**.
W bazie danych znajduje się 10 produktów ze statusem 'out_of_stock':
- Eco Iron Monitor Air (wartość: 46,154)
- Wireless Powerbank 360 Advanced Ultra (wartość: 282,986)
- Rechargeable Webcam Stove Grill (wartość: 560,700)
- Automatic Brush Fast Eco (wartość: 115,995)
- Wireless Tablet Router Printer Wireless Premium Air (wartość: 739,607)
- Smart Grill Tablet Fridge Go Smart Smart (wartość: 471,408)
- Treadmill (wartość: 543,864)
- Clean Iron Premium Air Wireless (wartość: 205,100)
- Wireless Watch Tablet Printer Automatic Eco Sense (wartość: 9,971)
- Rechargeable Brush Compact (wartość: 243,848)</t>
  </si>
  <si>
    <t>Łączna wartość magazynowa produktów o statusie 'out_of_stock' wynosi **3 219 633 USD**.
W bazie danych znajduje się 10 produktów z tym statusem, których łączna wartość została obliczona na podstawie ceny i stanu magazynowego każdego z nich.</t>
  </si>
  <si>
    <t>Łączna wartość magazynowa produktów o statusie „out_of_stock” wynosi 3 219 633. Na tę sumę składa się 10 różnych pozycji asortymentowych aktualnie niedostępnych w sprzedaży.</t>
  </si>
  <si>
    <t>Łączna wartość magazynowa produktów o statusie 'out_of_stock' wynosi **3 219 633 USD**.
Na tę sumę składa się 10 pozycji produktowych, m.in.:
* **Wireless Tablet Router Printer Wireless Premium Air**: 739 607 USD
* **Rechargeable Webcam Stove Grill**: 560 700 USD
* **Smart Grill Tablet Fridge Go Smart Smart**: 471 408 USD
* **Treadmill**: 543 864 USD</t>
  </si>
  <si>
    <t>Łączna wartość magazynowa produktów dostępnych jako 'out_of_stock' wynosi **3 219 633 USD** (lub w danej walucie).
Wartość ta pochodzi z 10 produktów, które są aktualnie niedostępne, a ich łączna wartość magazynowa obliczana jako suma iloczynów ceny jednostkowej i liczby sztuk na magazynie.</t>
  </si>
  <si>
    <t>Łączna wartość magazynowa produktów dostępnych jako 'out_of_stock' wynosi **$3,219,633 USD**.
Obliczenie obejmuje 10 produktów, które obecnie nie są dostępne, a suma ich wartości (cena × stan magazynu) dla każdego produktu daje powyższy wynik.</t>
  </si>
  <si>
    <t>Łączna wartość magazynowa produktów o statusie 'out_of_stock' wynosi **3 219 633** (w walucie bazowej z bazy danych).</t>
  </si>
  <si>
    <t>Łączna wartość magazynowa produktów o statusie 'out_of_stock' wynosi **3 219 633 USD**.</t>
  </si>
  <si>
    <t>Negative Rejection</t>
  </si>
  <si>
    <t>Jaki kolor ma krzesło?</t>
  </si>
  <si>
    <t>Niestety, nie umiem odpowiedzieć na to pytanie na podstawie dostępnej bazy danych. W bazie nie znaleziono produktów, które można by jednoznacznie zidentyfikować jako krzesła.</t>
  </si>
  <si>
    <t>Niestety, nie umiem odpowiedzieć na to pytanie na podstawie dostępnej bazy danych. W bazie nie ma informacji o kolorze krzeseł.
W dostępnych danych mamy różne produkty, ale brakuje szczegółowych informacji o kolorach dla krzeseł. W opisanych narzędziach dostępne są zapytania dotyczące nazwy produktów, cen, stanów magazynowych, dostępności i innych parametrów, ale nie ma bezpośredniego narzędzia do wyszukiwania produktów po kolorze.
Jeśli chcesz sprawdzić dostępne produkty w kategorii mebli, mogę wyszukać produkty o nazwie zawierającej "Chair" lub "Krzesło".</t>
  </si>
  <si>
    <t>Niestety, nie umiem odpowiedzieć na to pytanie na podstawie dostępnej bazy danych. W asortymencie nie znaleziono produktu zdefiniowanego jako krzesło.</t>
  </si>
  <si>
    <t>Niestety, nie umiem odpowiedzieć na to pytanie na podstawie dostępnej bazy danych. W zestawieniu nie znaleziono produktu o nazwie "Chair" lub "Krzesło".</t>
  </si>
  <si>
    <t>Niestety, w bazie danych nie ma produktu o nazwie zawierającej słowo "krzesło" (chair). Czy mógłbyś podać bardziej konkretną nazwę produktu lub markę, którą szukasz? W ten sposób będę w stanie znaleźć informacje o jego kolorze.</t>
  </si>
  <si>
    <t>Niestety, w bazie danych nie znalazłem produktu o nazwie "Chair" (Krzesło). Baza zawiera 100 produktów, ale żaden z nich nie wydaje się być krzesłem, lub produkt może być określony inną nazwą.
Czy możesz podać bardziej szczegółowe informacje, na przykład:
- Konkretną nazwę produktu?
- Markę?
- Kategorię?
Wtedy będę w stanie wyszukać informacje o kolorze.</t>
  </si>
  <si>
    <t>Na podstawie tabeli, wskaż na który produkt czas oczekiwania jest najdłuższy.</t>
  </si>
  <si>
    <t>Najdłuższy czas oczekiwania ma Mini Fridge Camera — w opisie produktu występuje określenie "month", co wskazuje na najdłuższy okres oczekiwania spośród znalezionych rekordów.</t>
  </si>
  <si>
    <t>Niestety, nie umiem odpowiedzieć na to pytanie na podstawie dostępnej bazy danych.
W tabeli `products100`, którą mam dostępną, nie ma kolumny dotyczącej czasu oczekiwania. Dostępne kolumny to: "Name", "Description", "Brand", "Category", "Price", "Currency", "Stock", "Availability", "Color", "Size", "EAN", "Internal ID". 
Nie posiadam informacji o czasie oczekiwania na żaden z produktów w bazie danych.</t>
  </si>
  <si>
    <t>Na podstawie dostępnych danych w pliku CSV, najdłuższy czas oczekiwania dotyczy produktów o statusie **"pre_order"** (zamówienie przedpremierowe), ponieważ wymagają one oczekiwania na dostawę przed dostępnością.
Wśród produktów w stanie "pre_order" znajdują się wszystkie produkty wymagające oczekiwania, podczas gdy produkty ze statusem "in_stock" są dostępne natychmiast, a "discontinued" zostały wycofane z produkcji.
Najwięcej produktów w stanie oczekiwania (pre_order) to:
- **Keyboard Toaster Monitor** (Index: 30) z największą ilością w magazynie (988 szt.)
- **Ultra Speakerphone Oven Go Smart X** (Index: 42) z najwyższą ceną (999 USD)
Niestety, baza danych nie zawiera informacji o konkretnym czasie oczekiwania dla poszczególnych produktów w stanie pre-order, więc nie mogę wskazać który produkt ma najdłuższy dokładny czas oczekiwania.</t>
  </si>
  <si>
    <t>Najdłuższy czas oczekiwania dotyczy produktów oznaczonych statusem **pre_order**. W ofercie znajduje się kilka takich produktów, między innymi:
*   Compact Printer Air Advanced Digital
*   Portable Freezer Phone Automatic Smart
*   Wireless Scooter Clean Mini
*   Keyboard Toaster Monitor
*   Ultra Mixer Toaster Toaster Smart
Produkty te wymagają zamówienia przedpremierowego, co wiąże się z najdłuższym terminem realizacji w porównaniu do towarów dostępnych w magazynie lub na zamówienie (backorder).</t>
  </si>
  <si>
    <t>Na podstawie dostępnych danych, status **pre_order** (przedsprzedaż) sugeruje najdłuższy czas oczekiwania na produkt. W tej kategorii znajduje się wiele pozycji, m.in.:
*   **Ultra Speakerphone Oven Go Smart X** (Marka: Zimmerman, Barr and Davis)
*   **Compact Printer Air Advanced Digital** (Marka: Garner, Boyle and Flynn)
*   **Keyboard Toaster Monitor** (Marka: Bonilla-Spears)
W bazie danych nie określono jednak dokładnej liczby dni oczekiwania dla poszczególnych produktów o statusie przedsprzedaży.</t>
  </si>
  <si>
    <t>Przepraszam, ale w bazie danych **nie ma kolumny dotyczącej czasu oczekiwania** (waiting time). 
Dostępne informacje o produktach to:
- Nazwa, opis, marka, kategoria
- Cena, waluta, liczba sztuk w magazynie
- Status dostępności (in_stock, pre_order, discontinued)
- Kolor, rozmiar, EAN, ID wewnętrzne
Czy możesz sprecyzować pytanie? Na przykład:
- Pytasz o produkty w statusie **pre_order** (przedsprzedaż)?
- Czy może pytanie dotyczy czegoś innego?</t>
  </si>
  <si>
    <t>Przepraszam, ale nie mogę odpowiedzieć na to pytanie na podstawie dostępnej bazy danych. 
W pliku CSV nie ma kolumny zawierającej informacje o "czasie oczekiwania" na produkty. Dostępne dane obejmują:
- Nazwę, opis, markę i kategorię produktu
- Cenę, walutę i stan magazynowy
- Status dostępności (in_stock, pre_order, discontinued)
- Kolory, rozmiary, kody EAN i identyfikatory wewnętrzne
Jeśli chodzi o produkty w statusie **pre_order** (przedsprzedaż), mogę Ci je wskazać, ale bez konkretnych informacji o długości czasu oczekiwania nie będę w stanie określić, który wymaga najdłuższego czasu.
Czy mogę Ci pomóc w inny sposób, np. wylistować produkty dostępne w przedsprzedaży?</t>
  </si>
  <si>
    <t>Niestety, w bazie danych nie ma informacji o konkretnym czasie oczekiwania na produkty (np. liczba dni), a jedynie status dostępności ("Availability"). Nie mogę wskazać produktu z najdłuższym czasem oczekiwania bez zgadywania.</t>
  </si>
  <si>
    <t>Puste pola:</t>
  </si>
  <si>
    <t>rower 234 USD</t>
  </si>
  <si>
    <t>1523 USD</t>
  </si>
  <si>
    <t>3,219,633 USD</t>
  </si>
  <si>
    <t>Prawidłowa [0/1]</t>
  </si>
  <si>
    <t>Koszt [token]</t>
  </si>
  <si>
    <t>Czas [ms]</t>
  </si>
  <si>
    <t>Suma:</t>
  </si>
  <si>
    <t>Średnia:</t>
  </si>
  <si>
    <t>System RAG</t>
  </si>
  <si>
    <t>Dokładność</t>
  </si>
  <si>
    <t>Tokeny</t>
  </si>
  <si>
    <t>Czas [s]</t>
  </si>
  <si>
    <t>Przepustowość [tok/s]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</si>
</sst>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color rgb="FF999999"/>
      <name val="Arial"/>
      <scheme val="minor"/>
    </font>
    <font>
      <color rgb="FF999999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0" fillId="5" fontId="2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4" fillId="8" fontId="2" numFmtId="0" xfId="0" applyAlignment="1" applyBorder="1" applyFill="1" applyFont="1">
      <alignment horizontal="left"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2" fillId="0" fontId="4" numFmtId="0" xfId="0" applyBorder="1" applyFont="1"/>
    <xf borderId="8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0" fillId="8" fontId="2" numFmtId="0" xfId="0" applyAlignment="1" applyFont="1">
      <alignment horizontal="center" readingOrder="0" shrinkToFit="0" vertical="center" wrapText="1"/>
    </xf>
    <xf borderId="4" fillId="8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5" numFmtId="10" xfId="0" applyAlignment="1" applyFont="1" applyNumberFormat="1">
      <alignment horizontal="right" vertical="bottom"/>
    </xf>
    <xf borderId="0" fillId="0" fontId="5" numFmtId="1" xfId="0" applyAlignment="1" applyFont="1" applyNumberFormat="1">
      <alignment horizontal="right" vertical="bottom"/>
    </xf>
    <xf borderId="0" fillId="0" fontId="2" numFmtId="2" xfId="0" applyFont="1" applyNumberFormat="1"/>
    <xf borderId="0" fillId="0" fontId="7" numFmtId="1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dokładność odpowiedzi w zależności od systemu RAG dla danych ustrukturyzowanych</a:t>
            </a:r>
          </a:p>
        </c:rich>
      </c:tx>
      <c:layout>
        <c:manualLayout>
          <c:xMode val="edge"/>
          <c:yMode val="edge"/>
          <c:x val="0.030763888888888893"/>
          <c:y val="0.02163120567375887"/>
        </c:manualLayout>
      </c:layout>
      <c:overlay val="0"/>
    </c:title>
    <c:plotArea>
      <c:layout>
        <c:manualLayout>
          <c:xMode val="edge"/>
          <c:yMode val="edge"/>
          <c:x val="0.1891514756944444"/>
          <c:y val="0.13829787234042554"/>
          <c:w val="0.7814735243055556"/>
          <c:h val="0.7044917257683215"/>
        </c:manualLayout>
      </c:layout>
      <c:barChart>
        <c:barDir val="bar"/>
        <c:ser>
          <c:idx val="0"/>
          <c:order val="0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Pt>
            <c:idx val="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'Analiza wyników'!$A$2:$A$11</c:f>
            </c:strRef>
          </c:cat>
          <c:val>
            <c:numRef>
              <c:f>'Analiza wyników'!$B$2:$B$11</c:f>
              <c:numCache/>
            </c:numRef>
          </c:val>
        </c:ser>
        <c:axId val="1180176108"/>
        <c:axId val="936189646"/>
      </c:barChart>
      <c:catAx>
        <c:axId val="11801761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System 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6189646"/>
      </c:catAx>
      <c:valAx>
        <c:axId val="9361896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Dokładność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017610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Średnie zużycie tokenów przy generowaniu odpowiedzi w zależności od systemu RAG dla danych ustrukturyzowanych</a:t>
            </a:r>
          </a:p>
        </c:rich>
      </c:tx>
      <c:layout>
        <c:manualLayout>
          <c:xMode val="edge"/>
          <c:yMode val="edge"/>
          <c:x val="0.03298611111111111"/>
          <c:y val="0.03313253012048193"/>
        </c:manualLayout>
      </c:layout>
      <c:overlay val="0"/>
    </c:title>
    <c:plotArea>
      <c:layout>
        <c:manualLayout>
          <c:xMode val="edge"/>
          <c:yMode val="edge"/>
          <c:x val="0.1885959201388889"/>
          <c:y val="0.1650602409638554"/>
          <c:w val="0.7825846354166667"/>
          <c:h val="0.6746987951807228"/>
        </c:manualLayout>
      </c:layout>
      <c:barChart>
        <c:barDir val="bar"/>
        <c:ser>
          <c:idx val="0"/>
          <c:order val="0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'Analiza wyników'!$A$2:$A$11</c:f>
            </c:strRef>
          </c:cat>
          <c:val>
            <c:numRef>
              <c:f>'Analiza wyników'!$C$2:$C$11</c:f>
              <c:numCache/>
            </c:numRef>
          </c:val>
        </c:ser>
        <c:axId val="2019780208"/>
        <c:axId val="1272168406"/>
      </c:barChart>
      <c:catAx>
        <c:axId val="20197802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System 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2168406"/>
      </c:catAx>
      <c:valAx>
        <c:axId val="12721684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Tokeny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978020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 czas generowania odpowiedzi w zależności od systemu RAG dla danych ustrukturyzowanych</a:t>
            </a:r>
          </a:p>
        </c:rich>
      </c:tx>
      <c:layout>
        <c:manualLayout>
          <c:xMode val="edge"/>
          <c:yMode val="edge"/>
          <c:x val="0.03277777777777778"/>
          <c:y val="0.02916666666666667"/>
        </c:manualLayout>
      </c:layout>
      <c:overlay val="0"/>
    </c:title>
    <c:plotArea>
      <c:layout>
        <c:manualLayout>
          <c:xMode val="edge"/>
          <c:yMode val="edge"/>
          <c:x val="0.18977647569444447"/>
          <c:y val="0.15625"/>
          <c:w val="0.7802235243055555"/>
          <c:h val="0.6828703703703703"/>
        </c:manualLayout>
      </c:layout>
      <c:barChart>
        <c:barDir val="bar"/>
        <c:ser>
          <c:idx val="0"/>
          <c:order val="0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'Analiza wyników'!$A$2:$A$11</c:f>
            </c:strRef>
          </c:cat>
          <c:val>
            <c:numRef>
              <c:f>'Analiza wyników'!$D$2:$D$11</c:f>
              <c:numCache/>
            </c:numRef>
          </c:val>
        </c:ser>
        <c:axId val="1163226571"/>
        <c:axId val="1878493302"/>
      </c:barChart>
      <c:catAx>
        <c:axId val="11632265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System 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8493302"/>
      </c:catAx>
      <c:valAx>
        <c:axId val="1878493302"/>
        <c:scaling>
          <c:orientation val="minMax"/>
          <c:max val="9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Czas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32265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Średnia przepustowość w zależności od systemu RAG dla danych ustrukturyzowanych</a:t>
            </a:r>
          </a:p>
        </c:rich>
      </c:tx>
      <c:layout>
        <c:manualLayout>
          <c:xMode val="edge"/>
          <c:yMode val="edge"/>
          <c:x val="0.03388888888888889"/>
          <c:y val="0.02991071428571429"/>
        </c:manualLayout>
      </c:layout>
      <c:overlay val="0"/>
    </c:title>
    <c:plotArea>
      <c:layout>
        <c:manualLayout>
          <c:xMode val="edge"/>
          <c:yMode val="edge"/>
          <c:x val="0.19088758680555554"/>
          <c:y val="0.14620535714285715"/>
          <c:w val="0.7780013020833334"/>
          <c:h val="0.7008928571428571"/>
        </c:manualLayout>
      </c:layout>
      <c:barChart>
        <c:barDir val="bar"/>
        <c:ser>
          <c:idx val="0"/>
          <c:order val="0"/>
          <c:tx>
            <c:strRef>
              <c:f>'Analiza wyników'!$E$1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'Analiza wyników'!$A$2:$A$11</c:f>
            </c:strRef>
          </c:cat>
          <c:val>
            <c:numRef>
              <c:f>'Analiza wyników'!$E$2:$E$11</c:f>
              <c:numCache/>
            </c:numRef>
          </c:val>
        </c:ser>
        <c:axId val="723315284"/>
        <c:axId val="779797847"/>
      </c:barChart>
      <c:catAx>
        <c:axId val="7233152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System 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79797847"/>
      </c:catAx>
      <c:valAx>
        <c:axId val="779797847"/>
        <c:scaling>
          <c:orientation val="minMax"/>
          <c:max val="11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Przepustowość [tok/s]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331528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13</xdr:row>
      <xdr:rowOff>190500</xdr:rowOff>
    </xdr:from>
    <xdr:ext cx="1838325" cy="1733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714375</xdr:colOff>
      <xdr:row>13</xdr:row>
      <xdr:rowOff>161925</xdr:rowOff>
    </xdr:from>
    <xdr:ext cx="1914525" cy="1790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23</xdr:row>
      <xdr:rowOff>180975</xdr:rowOff>
    </xdr:from>
    <xdr:ext cx="2409825" cy="9239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295275</xdr:colOff>
      <xdr:row>0</xdr:row>
      <xdr:rowOff>0</xdr:rowOff>
    </xdr:from>
    <xdr:ext cx="6858000" cy="4029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14</xdr:row>
      <xdr:rowOff>152400</xdr:rowOff>
    </xdr:from>
    <xdr:ext cx="6858000" cy="39528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295275</xdr:colOff>
      <xdr:row>22</xdr:row>
      <xdr:rowOff>190500</xdr:rowOff>
    </xdr:from>
    <xdr:ext cx="6858000" cy="41148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95250</xdr:colOff>
      <xdr:row>36</xdr:row>
      <xdr:rowOff>161925</xdr:rowOff>
    </xdr:from>
    <xdr:ext cx="6858000" cy="42672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1.5"/>
    <col customWidth="1" min="2" max="2" width="5.88"/>
    <col customWidth="1" min="3" max="3" width="34.63"/>
    <col customWidth="1" min="4" max="4" width="28.13"/>
    <col customWidth="1" min="5" max="5" width="27.38"/>
    <col customWidth="1" min="6" max="6" width="26.38"/>
    <col customWidth="1" min="7" max="7" width="25.0"/>
    <col customWidth="1" min="8" max="8" width="25.38"/>
    <col customWidth="1" min="9" max="9" width="25.13"/>
    <col customWidth="1" min="10" max="10" width="24.25"/>
    <col customWidth="1" min="11" max="11" width="24.75"/>
    <col customWidth="1" min="12" max="12" width="26.63"/>
    <col customWidth="1" min="13" max="13" width="27.25"/>
  </cols>
  <sheetData>
    <row r="1" ht="31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8" t="s">
        <v>13</v>
      </c>
      <c r="B2" s="9">
        <v>1.0</v>
      </c>
      <c r="C2" s="10" t="s">
        <v>14</v>
      </c>
      <c r="D2" s="11" t="s">
        <v>15</v>
      </c>
      <c r="E2" s="12" t="s">
        <v>15</v>
      </c>
      <c r="F2" s="11" t="s">
        <v>16</v>
      </c>
      <c r="G2" s="12" t="s">
        <v>17</v>
      </c>
      <c r="H2" s="11" t="s">
        <v>16</v>
      </c>
      <c r="I2" s="12" t="s">
        <v>15</v>
      </c>
      <c r="J2" s="11" t="s">
        <v>18</v>
      </c>
      <c r="K2" s="12" t="s">
        <v>19</v>
      </c>
      <c r="L2" s="11" t="s">
        <v>20</v>
      </c>
      <c r="M2" s="12" t="s">
        <v>21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B3" s="9">
        <v>2.0</v>
      </c>
      <c r="C3" s="10" t="s">
        <v>22</v>
      </c>
      <c r="D3" s="13" t="s">
        <v>23</v>
      </c>
      <c r="E3" s="14" t="s">
        <v>24</v>
      </c>
      <c r="F3" s="13" t="s">
        <v>25</v>
      </c>
      <c r="G3" s="14" t="s">
        <v>26</v>
      </c>
      <c r="H3" s="13" t="s">
        <v>27</v>
      </c>
      <c r="I3" s="14" t="s">
        <v>24</v>
      </c>
      <c r="J3" s="13" t="s">
        <v>28</v>
      </c>
      <c r="K3" s="14" t="s">
        <v>29</v>
      </c>
      <c r="L3" s="13" t="s">
        <v>30</v>
      </c>
      <c r="M3" s="14" t="s">
        <v>31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8" t="s">
        <v>32</v>
      </c>
      <c r="B4" s="9">
        <v>3.0</v>
      </c>
      <c r="C4" s="10" t="s">
        <v>33</v>
      </c>
      <c r="D4" s="13" t="s">
        <v>34</v>
      </c>
      <c r="E4" s="15" t="s">
        <v>35</v>
      </c>
      <c r="F4" s="13" t="s">
        <v>36</v>
      </c>
      <c r="G4" s="15" t="s">
        <v>35</v>
      </c>
      <c r="H4" s="13" t="s">
        <v>37</v>
      </c>
      <c r="I4" s="15" t="s">
        <v>35</v>
      </c>
      <c r="J4" s="13" t="s">
        <v>38</v>
      </c>
      <c r="K4" s="15" t="s">
        <v>35</v>
      </c>
      <c r="L4" s="13" t="s">
        <v>39</v>
      </c>
      <c r="M4" s="15" t="s">
        <v>35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B5" s="9">
        <v>4.0</v>
      </c>
      <c r="C5" s="10" t="s">
        <v>40</v>
      </c>
      <c r="D5" s="13" t="s">
        <v>41</v>
      </c>
      <c r="E5" s="14" t="s">
        <v>42</v>
      </c>
      <c r="F5" s="13" t="s">
        <v>43</v>
      </c>
      <c r="G5" s="14" t="s">
        <v>44</v>
      </c>
      <c r="H5" s="13" t="s">
        <v>45</v>
      </c>
      <c r="I5" s="14" t="s">
        <v>46</v>
      </c>
      <c r="J5" s="13" t="s">
        <v>47</v>
      </c>
      <c r="K5" s="14" t="s">
        <v>48</v>
      </c>
      <c r="L5" s="13" t="s">
        <v>49</v>
      </c>
      <c r="M5" s="14" t="s">
        <v>50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8" t="s">
        <v>51</v>
      </c>
      <c r="B6" s="9">
        <v>5.0</v>
      </c>
      <c r="C6" s="10" t="s">
        <v>52</v>
      </c>
      <c r="D6" s="13" t="s">
        <v>53</v>
      </c>
      <c r="E6" s="14" t="s">
        <v>54</v>
      </c>
      <c r="F6" s="13" t="s">
        <v>55</v>
      </c>
      <c r="G6" s="14" t="s">
        <v>56</v>
      </c>
      <c r="H6" s="13" t="s">
        <v>57</v>
      </c>
      <c r="I6" s="14" t="s">
        <v>58</v>
      </c>
      <c r="J6" s="13" t="s">
        <v>59</v>
      </c>
      <c r="K6" s="14" t="s">
        <v>60</v>
      </c>
      <c r="L6" s="13" t="s">
        <v>61</v>
      </c>
      <c r="M6" s="14" t="s">
        <v>61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B7" s="9">
        <v>6.0</v>
      </c>
      <c r="C7" s="10" t="s">
        <v>62</v>
      </c>
      <c r="D7" s="13" t="s">
        <v>63</v>
      </c>
      <c r="E7" s="16" t="s">
        <v>64</v>
      </c>
      <c r="F7" s="13" t="s">
        <v>65</v>
      </c>
      <c r="G7" s="16" t="s">
        <v>66</v>
      </c>
      <c r="H7" s="13" t="s">
        <v>67</v>
      </c>
      <c r="I7" s="16" t="s">
        <v>68</v>
      </c>
      <c r="J7" s="13" t="s">
        <v>69</v>
      </c>
      <c r="K7" s="16" t="s">
        <v>70</v>
      </c>
      <c r="L7" s="13" t="s">
        <v>71</v>
      </c>
      <c r="M7" s="16" t="s">
        <v>72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8" t="s">
        <v>73</v>
      </c>
      <c r="B8" s="9">
        <v>7.0</v>
      </c>
      <c r="C8" s="10" t="s">
        <v>74</v>
      </c>
      <c r="D8" s="13" t="s">
        <v>21</v>
      </c>
      <c r="E8" s="16" t="s">
        <v>21</v>
      </c>
      <c r="F8" s="13" t="s">
        <v>75</v>
      </c>
      <c r="G8" s="16" t="s">
        <v>76</v>
      </c>
      <c r="H8" s="13" t="s">
        <v>77</v>
      </c>
      <c r="I8" s="16" t="s">
        <v>78</v>
      </c>
      <c r="J8" s="13" t="s">
        <v>79</v>
      </c>
      <c r="K8" s="16" t="s">
        <v>80</v>
      </c>
      <c r="L8" s="13" t="s">
        <v>21</v>
      </c>
      <c r="M8" s="16" t="s">
        <v>21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B9" s="9">
        <v>8.0</v>
      </c>
      <c r="C9" s="10" t="s">
        <v>81</v>
      </c>
      <c r="D9" s="17" t="s">
        <v>82</v>
      </c>
      <c r="E9" s="18" t="s">
        <v>21</v>
      </c>
      <c r="F9" s="17" t="s">
        <v>83</v>
      </c>
      <c r="G9" s="18" t="s">
        <v>84</v>
      </c>
      <c r="H9" s="17" t="s">
        <v>85</v>
      </c>
      <c r="I9" s="18" t="s">
        <v>86</v>
      </c>
      <c r="J9" s="17" t="s">
        <v>87</v>
      </c>
      <c r="K9" s="18" t="s">
        <v>88</v>
      </c>
      <c r="L9" s="17" t="s">
        <v>89</v>
      </c>
      <c r="M9" s="18" t="s">
        <v>21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19" t="s">
        <v>90</v>
      </c>
      <c r="B11" s="20">
        <f>COUNTBLANK(D2:M9)</f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7"/>
      <c r="B12" s="21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7"/>
      <c r="B13" s="21">
        <v>1.0</v>
      </c>
      <c r="C13" s="22">
        <v>100.0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7"/>
      <c r="B14" s="21">
        <v>2.0</v>
      </c>
      <c r="C14" s="21" t="s">
        <v>91</v>
      </c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23">
        <v>3.0</v>
      </c>
      <c r="D15" s="7"/>
      <c r="E15" s="7"/>
      <c r="F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21"/>
      <c r="D16" s="7"/>
      <c r="E16" s="7"/>
      <c r="F16" s="7"/>
      <c r="G16" s="7"/>
      <c r="H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21"/>
      <c r="D17" s="7"/>
      <c r="E17" s="7"/>
      <c r="F17" s="7"/>
      <c r="G17" s="7"/>
      <c r="H17" s="21"/>
      <c r="I17" s="7"/>
      <c r="J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21"/>
      <c r="D18" s="7"/>
      <c r="E18" s="21"/>
      <c r="F18" s="7"/>
      <c r="G18" s="7"/>
      <c r="H18" s="7"/>
      <c r="I18" s="7"/>
      <c r="J18" s="7"/>
      <c r="K18" s="7"/>
      <c r="L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7"/>
      <c r="D19" s="7"/>
      <c r="E19" s="21"/>
      <c r="F19" s="7"/>
      <c r="G19" s="21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7"/>
      <c r="D20" s="7"/>
      <c r="E20" s="7"/>
      <c r="F20" s="7"/>
      <c r="G20" s="21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7"/>
      <c r="D21" s="7"/>
      <c r="E21" s="7"/>
      <c r="F21" s="7"/>
      <c r="G21" s="7"/>
      <c r="H21" s="7"/>
      <c r="I21" s="7"/>
      <c r="J21" s="7"/>
      <c r="K21" s="21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7"/>
      <c r="B25" s="21">
        <v>4.0</v>
      </c>
      <c r="C25" s="21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7"/>
      <c r="B30" s="21">
        <v>5.0</v>
      </c>
      <c r="C30" s="21" t="s">
        <v>92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7"/>
      <c r="B31" s="21">
        <v>6.0</v>
      </c>
      <c r="C31" s="21" t="s">
        <v>93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</sheetData>
  <mergeCells count="4">
    <mergeCell ref="A2:A3"/>
    <mergeCell ref="A4:A5"/>
    <mergeCell ref="A6:A7"/>
    <mergeCell ref="A8:A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7.38"/>
    <col customWidth="1" min="2" max="2" width="5.25"/>
    <col customWidth="1" min="3" max="3" width="32.88"/>
    <col customWidth="1" min="4" max="4" width="13.88"/>
    <col customWidth="1" min="5" max="5" width="12.25"/>
    <col customWidth="1" min="6" max="6" width="9.5"/>
    <col customWidth="1" min="7" max="7" width="13.63"/>
    <col customWidth="1" min="8" max="8" width="12.5"/>
    <col customWidth="1" min="9" max="9" width="11.38"/>
    <col customWidth="1" min="10" max="10" width="15.75"/>
    <col customWidth="1" min="11" max="11" width="11.5"/>
    <col customWidth="1" min="12" max="12" width="10.38"/>
    <col customWidth="1" min="13" max="13" width="14.38"/>
    <col customWidth="1" min="14" max="14" width="11.5"/>
    <col customWidth="1" min="15" max="15" width="9.25"/>
    <col customWidth="1" min="16" max="16" width="14.88"/>
    <col customWidth="1" min="17" max="17" width="13.13"/>
    <col customWidth="1" min="18" max="18" width="10.5"/>
    <col customWidth="1" min="19" max="19" width="13.88"/>
    <col customWidth="1" min="20" max="20" width="13.25"/>
    <col customWidth="1" min="21" max="21" width="10.63"/>
    <col customWidth="1" min="22" max="22" width="13.25"/>
    <col customWidth="1" min="23" max="23" width="11.75"/>
    <col customWidth="1" min="24" max="24" width="10.25"/>
    <col customWidth="1" min="25" max="25" width="15.13"/>
    <col customWidth="1" min="26" max="26" width="11.63"/>
    <col customWidth="1" min="27" max="27" width="9.88"/>
    <col customWidth="1" min="28" max="28" width="14.88"/>
    <col customWidth="1" min="29" max="29" width="12.5"/>
    <col customWidth="1" min="30" max="30" width="9.75"/>
    <col customWidth="1" min="31" max="31" width="13.63"/>
    <col customWidth="1" min="32" max="32" width="12.63"/>
    <col customWidth="1" min="33" max="33" width="10.5"/>
    <col customWidth="1" min="35" max="35" width="8.38"/>
    <col customWidth="1" min="37" max="37" width="9.13"/>
  </cols>
  <sheetData>
    <row r="1">
      <c r="A1" s="1" t="s">
        <v>0</v>
      </c>
      <c r="B1" s="1" t="s">
        <v>1</v>
      </c>
      <c r="C1" s="1" t="s">
        <v>2</v>
      </c>
      <c r="D1" s="24" t="s">
        <v>3</v>
      </c>
      <c r="E1" s="25"/>
      <c r="F1" s="26"/>
      <c r="G1" s="24" t="s">
        <v>4</v>
      </c>
      <c r="H1" s="25"/>
      <c r="I1" s="26"/>
      <c r="J1" s="3" t="s">
        <v>5</v>
      </c>
      <c r="M1" s="3" t="s">
        <v>6</v>
      </c>
      <c r="P1" s="4" t="s">
        <v>7</v>
      </c>
      <c r="S1" s="4" t="s">
        <v>8</v>
      </c>
      <c r="V1" s="5" t="s">
        <v>9</v>
      </c>
      <c r="Y1" s="5" t="s">
        <v>10</v>
      </c>
      <c r="AB1" s="6" t="s">
        <v>11</v>
      </c>
      <c r="AE1" s="6" t="s">
        <v>12</v>
      </c>
    </row>
    <row r="2">
      <c r="D2" s="27" t="s">
        <v>94</v>
      </c>
      <c r="E2" s="28" t="s">
        <v>95</v>
      </c>
      <c r="F2" s="28" t="s">
        <v>96</v>
      </c>
      <c r="G2" s="27" t="s">
        <v>94</v>
      </c>
      <c r="H2" s="28" t="s">
        <v>95</v>
      </c>
      <c r="I2" s="29" t="s">
        <v>96</v>
      </c>
      <c r="J2" s="27" t="s">
        <v>94</v>
      </c>
      <c r="K2" s="28" t="s">
        <v>95</v>
      </c>
      <c r="L2" s="29" t="s">
        <v>96</v>
      </c>
      <c r="M2" s="27" t="s">
        <v>94</v>
      </c>
      <c r="N2" s="28" t="s">
        <v>95</v>
      </c>
      <c r="O2" s="29" t="s">
        <v>96</v>
      </c>
      <c r="P2" s="27" t="s">
        <v>94</v>
      </c>
      <c r="Q2" s="28" t="s">
        <v>95</v>
      </c>
      <c r="R2" s="29" t="s">
        <v>96</v>
      </c>
      <c r="S2" s="27" t="s">
        <v>94</v>
      </c>
      <c r="T2" s="28" t="s">
        <v>95</v>
      </c>
      <c r="U2" s="29" t="s">
        <v>96</v>
      </c>
      <c r="V2" s="27" t="s">
        <v>94</v>
      </c>
      <c r="W2" s="28" t="s">
        <v>95</v>
      </c>
      <c r="X2" s="29" t="s">
        <v>96</v>
      </c>
      <c r="Y2" s="27" t="s">
        <v>94</v>
      </c>
      <c r="Z2" s="28" t="s">
        <v>95</v>
      </c>
      <c r="AA2" s="29" t="s">
        <v>96</v>
      </c>
      <c r="AB2" s="27" t="s">
        <v>94</v>
      </c>
      <c r="AC2" s="28" t="s">
        <v>95</v>
      </c>
      <c r="AD2" s="29" t="s">
        <v>96</v>
      </c>
      <c r="AE2" s="27" t="s">
        <v>94</v>
      </c>
      <c r="AF2" s="28" t="s">
        <v>95</v>
      </c>
      <c r="AG2" s="29" t="s">
        <v>96</v>
      </c>
    </row>
    <row r="3">
      <c r="A3" s="30" t="s">
        <v>13</v>
      </c>
      <c r="B3" s="9">
        <v>1.0</v>
      </c>
      <c r="C3" s="10" t="s">
        <v>14</v>
      </c>
      <c r="D3" s="31">
        <v>1.0</v>
      </c>
      <c r="E3" s="8">
        <v>1489.0</v>
      </c>
      <c r="F3" s="8">
        <v>5393.0</v>
      </c>
      <c r="G3" s="31">
        <v>1.0</v>
      </c>
      <c r="H3" s="8">
        <v>1405.0</v>
      </c>
      <c r="I3" s="32">
        <v>4054.0</v>
      </c>
      <c r="J3" s="31">
        <v>1.0</v>
      </c>
      <c r="K3" s="8">
        <v>1701.0</v>
      </c>
      <c r="L3" s="32">
        <v>5391.0</v>
      </c>
      <c r="M3" s="31">
        <v>1.0</v>
      </c>
      <c r="N3" s="8">
        <v>2235.0</v>
      </c>
      <c r="O3" s="32">
        <v>4666.0</v>
      </c>
      <c r="P3" s="31">
        <v>1.0</v>
      </c>
      <c r="Q3" s="8">
        <v>1119.0</v>
      </c>
      <c r="R3" s="32">
        <v>1136.0</v>
      </c>
      <c r="S3" s="31">
        <v>1.0</v>
      </c>
      <c r="T3" s="8">
        <v>1224.0</v>
      </c>
      <c r="U3" s="32">
        <v>1088.0</v>
      </c>
      <c r="V3" s="31">
        <v>1.0</v>
      </c>
      <c r="W3" s="8">
        <v>1985.0</v>
      </c>
      <c r="X3" s="32">
        <v>1749.0</v>
      </c>
      <c r="Y3" s="31">
        <v>1.0</v>
      </c>
      <c r="Z3" s="8">
        <v>2703.0</v>
      </c>
      <c r="AA3" s="32">
        <v>1976.0</v>
      </c>
      <c r="AB3" s="31">
        <v>1.0</v>
      </c>
      <c r="AC3" s="8">
        <v>1747.0</v>
      </c>
      <c r="AD3" s="32">
        <v>4389.0</v>
      </c>
      <c r="AE3" s="31">
        <v>0.0</v>
      </c>
      <c r="AF3" s="8">
        <v>2217.0</v>
      </c>
      <c r="AG3" s="32">
        <v>3894.0</v>
      </c>
    </row>
    <row r="4">
      <c r="B4" s="9">
        <v>2.0</v>
      </c>
      <c r="C4" s="10" t="s">
        <v>22</v>
      </c>
      <c r="D4" s="31">
        <v>1.0</v>
      </c>
      <c r="E4" s="8">
        <v>1573.0</v>
      </c>
      <c r="F4" s="8">
        <v>7827.0</v>
      </c>
      <c r="G4" s="31">
        <v>1.0</v>
      </c>
      <c r="H4" s="8">
        <v>1469.0</v>
      </c>
      <c r="I4" s="32">
        <v>4490.0</v>
      </c>
      <c r="J4" s="31">
        <v>1.0</v>
      </c>
      <c r="K4" s="8">
        <v>1830.0</v>
      </c>
      <c r="L4" s="32">
        <v>8606.0</v>
      </c>
      <c r="M4" s="31">
        <v>1.0</v>
      </c>
      <c r="N4" s="8">
        <v>2358.0</v>
      </c>
      <c r="O4" s="32">
        <v>6624.0</v>
      </c>
      <c r="P4" s="31">
        <v>0.0</v>
      </c>
      <c r="Q4" s="8">
        <v>1155.0</v>
      </c>
      <c r="R4" s="32">
        <v>1466.0</v>
      </c>
      <c r="S4" s="31">
        <v>1.0</v>
      </c>
      <c r="T4" s="8">
        <v>1334.0</v>
      </c>
      <c r="U4" s="32">
        <v>2638.0</v>
      </c>
      <c r="V4" s="31">
        <v>1.0</v>
      </c>
      <c r="W4" s="8">
        <v>2048.0</v>
      </c>
      <c r="X4" s="32">
        <v>2679.0</v>
      </c>
      <c r="Y4" s="31">
        <v>1.0</v>
      </c>
      <c r="Z4" s="8">
        <v>2716.0</v>
      </c>
      <c r="AA4" s="32">
        <v>1959.0</v>
      </c>
      <c r="AB4" s="31">
        <v>1.0</v>
      </c>
      <c r="AC4" s="8">
        <v>1987.0</v>
      </c>
      <c r="AD4" s="32">
        <v>5757.0</v>
      </c>
      <c r="AE4" s="31">
        <v>1.0</v>
      </c>
      <c r="AF4" s="8">
        <v>2506.0</v>
      </c>
      <c r="AG4" s="32">
        <v>6184.0</v>
      </c>
    </row>
    <row r="5">
      <c r="A5" s="30" t="s">
        <v>32</v>
      </c>
      <c r="B5" s="9">
        <v>3.0</v>
      </c>
      <c r="C5" s="10" t="s">
        <v>33</v>
      </c>
      <c r="D5" s="31">
        <v>1.0</v>
      </c>
      <c r="E5" s="8">
        <v>1562.0</v>
      </c>
      <c r="F5" s="8">
        <v>5219.0</v>
      </c>
      <c r="G5" s="31">
        <v>0.0</v>
      </c>
      <c r="H5" s="33">
        <v>0.0</v>
      </c>
      <c r="I5" s="34">
        <v>0.0</v>
      </c>
      <c r="J5" s="31">
        <v>1.0</v>
      </c>
      <c r="K5" s="8">
        <v>1812.0</v>
      </c>
      <c r="L5" s="32">
        <v>11575.0</v>
      </c>
      <c r="M5" s="31">
        <v>0.0</v>
      </c>
      <c r="N5" s="33">
        <v>0.0</v>
      </c>
      <c r="O5" s="34">
        <v>0.0</v>
      </c>
      <c r="P5" s="31">
        <v>1.0</v>
      </c>
      <c r="Q5" s="8">
        <v>1148.0</v>
      </c>
      <c r="R5" s="32">
        <v>1480.0</v>
      </c>
      <c r="S5" s="31">
        <v>0.0</v>
      </c>
      <c r="T5" s="33">
        <v>0.0</v>
      </c>
      <c r="U5" s="34">
        <v>0.0</v>
      </c>
      <c r="V5" s="31">
        <v>1.0</v>
      </c>
      <c r="W5" s="8">
        <v>2050.0</v>
      </c>
      <c r="X5" s="32">
        <v>2503.0</v>
      </c>
      <c r="Y5" s="31">
        <v>0.0</v>
      </c>
      <c r="Z5" s="33">
        <v>0.0</v>
      </c>
      <c r="AA5" s="34">
        <v>0.0</v>
      </c>
      <c r="AB5" s="31">
        <v>1.0</v>
      </c>
      <c r="AC5" s="8">
        <v>1937.0</v>
      </c>
      <c r="AD5" s="32">
        <v>6802.0</v>
      </c>
      <c r="AE5" s="31">
        <v>0.0</v>
      </c>
      <c r="AF5" s="33">
        <v>0.0</v>
      </c>
      <c r="AG5" s="34">
        <v>0.0</v>
      </c>
    </row>
    <row r="6">
      <c r="B6" s="9">
        <v>4.0</v>
      </c>
      <c r="C6" s="10" t="s">
        <v>40</v>
      </c>
      <c r="D6" s="31">
        <v>1.0</v>
      </c>
      <c r="E6" s="8">
        <v>1500.0</v>
      </c>
      <c r="F6" s="8">
        <v>7059.0</v>
      </c>
      <c r="G6" s="31">
        <v>1.0</v>
      </c>
      <c r="H6" s="8">
        <v>1422.0</v>
      </c>
      <c r="I6" s="32">
        <v>3725.0</v>
      </c>
      <c r="J6" s="31">
        <v>1.0</v>
      </c>
      <c r="K6" s="8">
        <v>1741.0</v>
      </c>
      <c r="L6" s="32">
        <v>5521.0</v>
      </c>
      <c r="M6" s="31">
        <v>1.0</v>
      </c>
      <c r="N6" s="8">
        <v>2358.0</v>
      </c>
      <c r="O6" s="32">
        <v>7452.0</v>
      </c>
      <c r="P6" s="31">
        <v>1.0</v>
      </c>
      <c r="Q6" s="8">
        <v>1136.0</v>
      </c>
      <c r="R6" s="32">
        <v>1324.0</v>
      </c>
      <c r="S6" s="31">
        <v>1.0</v>
      </c>
      <c r="T6" s="8">
        <v>1238.0</v>
      </c>
      <c r="U6" s="8">
        <v>999.0</v>
      </c>
      <c r="V6" s="31">
        <v>1.0</v>
      </c>
      <c r="W6" s="8">
        <v>2021.0</v>
      </c>
      <c r="X6" s="32">
        <v>1921.0</v>
      </c>
      <c r="Y6" s="31">
        <v>1.0</v>
      </c>
      <c r="Z6" s="8">
        <v>2716.0</v>
      </c>
      <c r="AA6" s="32">
        <v>2158.0</v>
      </c>
      <c r="AB6" s="31">
        <v>1.0</v>
      </c>
      <c r="AC6" s="8">
        <v>1690.0</v>
      </c>
      <c r="AD6" s="32">
        <v>3934.0</v>
      </c>
      <c r="AE6" s="31">
        <v>1.0</v>
      </c>
      <c r="AF6" s="8">
        <v>2176.0</v>
      </c>
      <c r="AG6" s="32">
        <v>4448.0</v>
      </c>
    </row>
    <row r="7">
      <c r="A7" s="8" t="s">
        <v>51</v>
      </c>
      <c r="B7" s="9">
        <v>5.0</v>
      </c>
      <c r="C7" s="10" t="s">
        <v>52</v>
      </c>
      <c r="D7" s="31">
        <v>1.0</v>
      </c>
      <c r="E7" s="8">
        <v>1549.0</v>
      </c>
      <c r="F7" s="8">
        <v>8837.0</v>
      </c>
      <c r="G7" s="31">
        <v>1.0</v>
      </c>
      <c r="H7" s="8">
        <v>1653.0</v>
      </c>
      <c r="I7" s="32">
        <v>5812.0</v>
      </c>
      <c r="J7" s="31">
        <v>1.0</v>
      </c>
      <c r="K7" s="8">
        <v>1847.0</v>
      </c>
      <c r="L7" s="32">
        <v>7495.0</v>
      </c>
      <c r="M7" s="31">
        <v>1.0</v>
      </c>
      <c r="N7" s="8">
        <v>2027.0</v>
      </c>
      <c r="O7" s="32">
        <v>2734.0</v>
      </c>
      <c r="P7" s="31">
        <v>1.0</v>
      </c>
      <c r="Q7" s="8">
        <v>1150.0</v>
      </c>
      <c r="R7" s="32">
        <v>1156.0</v>
      </c>
      <c r="S7" s="31">
        <v>1.0</v>
      </c>
      <c r="T7" s="8">
        <v>1270.0</v>
      </c>
      <c r="U7" s="32">
        <v>1961.0</v>
      </c>
      <c r="V7" s="31">
        <v>1.0</v>
      </c>
      <c r="W7" s="8">
        <v>2060.0</v>
      </c>
      <c r="X7" s="32">
        <v>2354.0</v>
      </c>
      <c r="Y7" s="31">
        <v>1.0</v>
      </c>
      <c r="Z7" s="8">
        <v>2862.0</v>
      </c>
      <c r="AA7" s="32">
        <v>2196.0</v>
      </c>
      <c r="AB7" s="31">
        <v>0.0</v>
      </c>
      <c r="AC7" s="8">
        <v>1959.0</v>
      </c>
      <c r="AD7" s="32">
        <v>6945.0</v>
      </c>
      <c r="AE7" s="31">
        <v>0.0</v>
      </c>
      <c r="AF7" s="8">
        <v>2525.0</v>
      </c>
      <c r="AG7" s="32">
        <v>5925.0</v>
      </c>
    </row>
    <row r="8">
      <c r="B8" s="9">
        <v>6.0</v>
      </c>
      <c r="C8" s="10" t="s">
        <v>62</v>
      </c>
      <c r="D8" s="31">
        <v>1.0</v>
      </c>
      <c r="E8" s="8">
        <v>1480.0</v>
      </c>
      <c r="F8" s="8">
        <v>5833.0</v>
      </c>
      <c r="G8" s="31">
        <v>1.0</v>
      </c>
      <c r="H8" s="8">
        <v>1526.0</v>
      </c>
      <c r="I8" s="32">
        <v>3307.0</v>
      </c>
      <c r="J8" s="31">
        <v>1.0</v>
      </c>
      <c r="K8" s="8">
        <v>1638.0</v>
      </c>
      <c r="L8" s="32">
        <v>6151.0</v>
      </c>
      <c r="M8" s="31">
        <v>1.0</v>
      </c>
      <c r="N8" s="8">
        <v>2287.0</v>
      </c>
      <c r="O8" s="32">
        <v>18652.0</v>
      </c>
      <c r="P8" s="31">
        <v>1.0</v>
      </c>
      <c r="Q8" s="8">
        <v>1156.0</v>
      </c>
      <c r="R8" s="32">
        <v>1262.0</v>
      </c>
      <c r="S8" s="31">
        <v>1.0</v>
      </c>
      <c r="T8" s="8">
        <v>1250.0</v>
      </c>
      <c r="U8" s="32">
        <v>1286.0</v>
      </c>
      <c r="V8" s="31">
        <v>1.0</v>
      </c>
      <c r="W8" s="8">
        <v>2053.0</v>
      </c>
      <c r="X8" s="32">
        <v>2199.0</v>
      </c>
      <c r="Y8" s="31">
        <v>1.0</v>
      </c>
      <c r="Z8" s="8">
        <v>2753.0</v>
      </c>
      <c r="AA8" s="32">
        <v>1814.0</v>
      </c>
      <c r="AB8" s="31">
        <v>1.0</v>
      </c>
      <c r="AC8" s="8">
        <v>2434.0</v>
      </c>
      <c r="AD8" s="32">
        <v>10041.0</v>
      </c>
      <c r="AE8" s="31">
        <v>1.0</v>
      </c>
      <c r="AF8" s="8">
        <v>2405.0</v>
      </c>
      <c r="AG8" s="32">
        <v>7045.0</v>
      </c>
    </row>
    <row r="9">
      <c r="A9" s="8" t="s">
        <v>73</v>
      </c>
      <c r="B9" s="9">
        <v>7.0</v>
      </c>
      <c r="C9" s="10" t="s">
        <v>74</v>
      </c>
      <c r="D9" s="31">
        <v>1.0</v>
      </c>
      <c r="E9" s="8">
        <v>1473.0</v>
      </c>
      <c r="F9" s="8">
        <v>4353.0</v>
      </c>
      <c r="G9" s="31">
        <v>1.0</v>
      </c>
      <c r="H9" s="8">
        <v>1497.0</v>
      </c>
      <c r="I9" s="32">
        <v>3939.0</v>
      </c>
      <c r="J9" s="31">
        <v>1.0</v>
      </c>
      <c r="K9" s="8">
        <v>1632.0</v>
      </c>
      <c r="L9" s="32">
        <v>7937.0</v>
      </c>
      <c r="M9" s="31">
        <v>1.0</v>
      </c>
      <c r="N9" s="8">
        <v>2360.0</v>
      </c>
      <c r="O9" s="32">
        <v>2360.0</v>
      </c>
      <c r="P9" s="31">
        <v>1.0</v>
      </c>
      <c r="Q9" s="8">
        <v>1145.0</v>
      </c>
      <c r="R9" s="32">
        <v>1247.0</v>
      </c>
      <c r="S9" s="31">
        <v>1.0</v>
      </c>
      <c r="T9" s="8">
        <v>1229.0</v>
      </c>
      <c r="U9" s="32">
        <v>1464.0</v>
      </c>
      <c r="V9" s="31">
        <v>1.0</v>
      </c>
      <c r="W9" s="8">
        <v>2053.0</v>
      </c>
      <c r="X9" s="32">
        <v>13148.0</v>
      </c>
      <c r="Y9" s="31">
        <v>1.0</v>
      </c>
      <c r="Z9" s="8">
        <v>2746.0</v>
      </c>
      <c r="AA9" s="32">
        <v>4100.0</v>
      </c>
      <c r="AB9" s="31">
        <v>1.0</v>
      </c>
      <c r="AC9" s="8">
        <v>1914.0</v>
      </c>
      <c r="AD9" s="32">
        <v>7003.0</v>
      </c>
      <c r="AE9" s="31">
        <v>1.0</v>
      </c>
      <c r="AF9" s="8">
        <v>2293.0</v>
      </c>
      <c r="AG9" s="32">
        <v>5705.0</v>
      </c>
    </row>
    <row r="10">
      <c r="B10" s="9">
        <v>8.0</v>
      </c>
      <c r="C10" s="10" t="s">
        <v>81</v>
      </c>
      <c r="D10" s="35">
        <v>0.0</v>
      </c>
      <c r="E10" s="36">
        <v>1742.0</v>
      </c>
      <c r="F10" s="36">
        <v>11546.0</v>
      </c>
      <c r="G10" s="35">
        <v>1.0</v>
      </c>
      <c r="H10" s="36">
        <v>1780.0</v>
      </c>
      <c r="I10" s="37">
        <v>10146.0</v>
      </c>
      <c r="J10" s="35">
        <v>1.0</v>
      </c>
      <c r="K10" s="36">
        <v>1671.0</v>
      </c>
      <c r="L10" s="37">
        <v>14557.0</v>
      </c>
      <c r="M10" s="35">
        <v>1.0</v>
      </c>
      <c r="N10" s="36">
        <v>2326.0</v>
      </c>
      <c r="O10" s="37">
        <v>9457.0</v>
      </c>
      <c r="P10" s="35">
        <v>0.0</v>
      </c>
      <c r="Q10" s="36">
        <v>1160.0</v>
      </c>
      <c r="R10" s="37">
        <v>1281.0</v>
      </c>
      <c r="S10" s="35">
        <v>1.0</v>
      </c>
      <c r="T10" s="36">
        <v>1244.0</v>
      </c>
      <c r="U10" s="37">
        <v>1365.0</v>
      </c>
      <c r="V10" s="35">
        <v>1.0</v>
      </c>
      <c r="W10" s="36">
        <v>2105.0</v>
      </c>
      <c r="X10" s="37">
        <v>3020.0</v>
      </c>
      <c r="Y10" s="35">
        <v>1.0</v>
      </c>
      <c r="Z10" s="36">
        <v>2895.0</v>
      </c>
      <c r="AA10" s="37">
        <v>3676.0</v>
      </c>
      <c r="AB10" s="35">
        <v>1.0</v>
      </c>
      <c r="AC10" s="36">
        <v>2319.0</v>
      </c>
      <c r="AD10" s="37">
        <v>10062.0</v>
      </c>
      <c r="AE10" s="35">
        <v>1.0</v>
      </c>
      <c r="AF10" s="36">
        <v>2911.0</v>
      </c>
      <c r="AG10" s="37">
        <v>15315.0</v>
      </c>
    </row>
    <row r="11">
      <c r="C11" s="38" t="s">
        <v>97</v>
      </c>
      <c r="D11" s="39">
        <f t="shared" ref="D11:AG11" si="1">SUM(D3:D10)</f>
        <v>7</v>
      </c>
      <c r="E11" s="39">
        <f t="shared" si="1"/>
        <v>12368</v>
      </c>
      <c r="F11" s="39">
        <f t="shared" si="1"/>
        <v>56067</v>
      </c>
      <c r="G11" s="39">
        <f t="shared" si="1"/>
        <v>7</v>
      </c>
      <c r="H11" s="39">
        <f t="shared" si="1"/>
        <v>10752</v>
      </c>
      <c r="I11" s="39">
        <f t="shared" si="1"/>
        <v>35473</v>
      </c>
      <c r="J11" s="39">
        <f t="shared" si="1"/>
        <v>8</v>
      </c>
      <c r="K11" s="39">
        <f t="shared" si="1"/>
        <v>13872</v>
      </c>
      <c r="L11" s="39">
        <f t="shared" si="1"/>
        <v>67233</v>
      </c>
      <c r="M11" s="39">
        <f t="shared" si="1"/>
        <v>7</v>
      </c>
      <c r="N11" s="39">
        <f t="shared" si="1"/>
        <v>15951</v>
      </c>
      <c r="O11" s="39">
        <f t="shared" si="1"/>
        <v>51945</v>
      </c>
      <c r="P11" s="39">
        <f t="shared" si="1"/>
        <v>6</v>
      </c>
      <c r="Q11" s="39">
        <f t="shared" si="1"/>
        <v>9169</v>
      </c>
      <c r="R11" s="39">
        <f t="shared" si="1"/>
        <v>10352</v>
      </c>
      <c r="S11" s="39">
        <f t="shared" si="1"/>
        <v>7</v>
      </c>
      <c r="T11" s="39">
        <f t="shared" si="1"/>
        <v>8789</v>
      </c>
      <c r="U11" s="39">
        <f t="shared" si="1"/>
        <v>10801</v>
      </c>
      <c r="V11" s="39">
        <f t="shared" si="1"/>
        <v>8</v>
      </c>
      <c r="W11" s="39">
        <f t="shared" si="1"/>
        <v>16375</v>
      </c>
      <c r="X11" s="39">
        <f t="shared" si="1"/>
        <v>29573</v>
      </c>
      <c r="Y11" s="39">
        <f t="shared" si="1"/>
        <v>7</v>
      </c>
      <c r="Z11" s="39">
        <f t="shared" si="1"/>
        <v>19391</v>
      </c>
      <c r="AA11" s="39">
        <f t="shared" si="1"/>
        <v>17879</v>
      </c>
      <c r="AB11" s="39">
        <f t="shared" si="1"/>
        <v>7</v>
      </c>
      <c r="AC11" s="39">
        <f t="shared" si="1"/>
        <v>15987</v>
      </c>
      <c r="AD11" s="39">
        <f t="shared" si="1"/>
        <v>54933</v>
      </c>
      <c r="AE11" s="39">
        <f t="shared" si="1"/>
        <v>5</v>
      </c>
      <c r="AF11" s="39">
        <f t="shared" si="1"/>
        <v>17033</v>
      </c>
      <c r="AG11" s="39">
        <f t="shared" si="1"/>
        <v>48516</v>
      </c>
    </row>
    <row r="12">
      <c r="C12" s="38" t="s">
        <v>98</v>
      </c>
      <c r="D12" s="39">
        <f t="shared" ref="D12:AG12" si="2">AVERAGE(D3:D10)</f>
        <v>0.875</v>
      </c>
      <c r="E12" s="39">
        <f t="shared" si="2"/>
        <v>1546</v>
      </c>
      <c r="F12" s="39">
        <f t="shared" si="2"/>
        <v>7008.375</v>
      </c>
      <c r="G12" s="39">
        <f t="shared" si="2"/>
        <v>0.875</v>
      </c>
      <c r="H12" s="39">
        <f t="shared" si="2"/>
        <v>1344</v>
      </c>
      <c r="I12" s="39">
        <f t="shared" si="2"/>
        <v>4434.125</v>
      </c>
      <c r="J12" s="39">
        <f t="shared" si="2"/>
        <v>1</v>
      </c>
      <c r="K12" s="39">
        <f t="shared" si="2"/>
        <v>1734</v>
      </c>
      <c r="L12" s="39">
        <f t="shared" si="2"/>
        <v>8404.125</v>
      </c>
      <c r="M12" s="39">
        <f t="shared" si="2"/>
        <v>0.875</v>
      </c>
      <c r="N12" s="39">
        <f t="shared" si="2"/>
        <v>1993.875</v>
      </c>
      <c r="O12" s="39">
        <f t="shared" si="2"/>
        <v>6493.125</v>
      </c>
      <c r="P12" s="39">
        <f t="shared" si="2"/>
        <v>0.75</v>
      </c>
      <c r="Q12" s="39">
        <f t="shared" si="2"/>
        <v>1146.125</v>
      </c>
      <c r="R12" s="39">
        <f t="shared" si="2"/>
        <v>1294</v>
      </c>
      <c r="S12" s="39">
        <f t="shared" si="2"/>
        <v>0.875</v>
      </c>
      <c r="T12" s="39">
        <f t="shared" si="2"/>
        <v>1098.625</v>
      </c>
      <c r="U12" s="39">
        <f t="shared" si="2"/>
        <v>1350.125</v>
      </c>
      <c r="V12" s="39">
        <f t="shared" si="2"/>
        <v>1</v>
      </c>
      <c r="W12" s="39">
        <f t="shared" si="2"/>
        <v>2046.875</v>
      </c>
      <c r="X12" s="39">
        <f t="shared" si="2"/>
        <v>3696.625</v>
      </c>
      <c r="Y12" s="39">
        <f t="shared" si="2"/>
        <v>0.875</v>
      </c>
      <c r="Z12" s="39">
        <f t="shared" si="2"/>
        <v>2423.875</v>
      </c>
      <c r="AA12" s="39">
        <f t="shared" si="2"/>
        <v>2234.875</v>
      </c>
      <c r="AB12" s="39">
        <f t="shared" si="2"/>
        <v>0.875</v>
      </c>
      <c r="AC12" s="39">
        <f t="shared" si="2"/>
        <v>1998.375</v>
      </c>
      <c r="AD12" s="39">
        <f t="shared" si="2"/>
        <v>6866.625</v>
      </c>
      <c r="AE12" s="39">
        <f t="shared" si="2"/>
        <v>0.625</v>
      </c>
      <c r="AF12" s="39">
        <f t="shared" si="2"/>
        <v>2129.125</v>
      </c>
      <c r="AG12" s="39">
        <f t="shared" si="2"/>
        <v>6064.5</v>
      </c>
    </row>
    <row r="13">
      <c r="A13" s="19" t="s">
        <v>90</v>
      </c>
      <c r="B13" s="20">
        <f>COUNTBLANK(D3:AG12)</f>
        <v>0</v>
      </c>
    </row>
    <row r="25">
      <c r="B25" s="40"/>
      <c r="D25" s="40"/>
      <c r="E25" s="40"/>
      <c r="F25" s="40"/>
      <c r="J25" s="40"/>
      <c r="K25" s="40"/>
      <c r="L25" s="40"/>
      <c r="P25" s="40"/>
      <c r="Q25" s="40"/>
      <c r="R25" s="40"/>
      <c r="V25" s="40"/>
      <c r="W25" s="40"/>
      <c r="X25" s="40"/>
      <c r="AB25" s="40"/>
      <c r="AC25" s="40"/>
      <c r="AD25" s="40"/>
      <c r="AH25" s="41"/>
      <c r="AJ25" s="41"/>
    </row>
    <row r="32">
      <c r="A32" s="42"/>
    </row>
  </sheetData>
  <mergeCells count="25">
    <mergeCell ref="P1:R1"/>
    <mergeCell ref="S1:U1"/>
    <mergeCell ref="V1:X1"/>
    <mergeCell ref="Y1:AA1"/>
    <mergeCell ref="AB1:AD1"/>
    <mergeCell ref="AE1:AG1"/>
    <mergeCell ref="A1:A2"/>
    <mergeCell ref="B1:B2"/>
    <mergeCell ref="C1:C2"/>
    <mergeCell ref="D1:F1"/>
    <mergeCell ref="G1:I1"/>
    <mergeCell ref="J1:L1"/>
    <mergeCell ref="M1:O1"/>
    <mergeCell ref="R25:U25"/>
    <mergeCell ref="X25:AA25"/>
    <mergeCell ref="AD25:AG25"/>
    <mergeCell ref="AH25:AI25"/>
    <mergeCell ref="AJ25:AK25"/>
    <mergeCell ref="A3:A4"/>
    <mergeCell ref="A5:A6"/>
    <mergeCell ref="A7:A8"/>
    <mergeCell ref="A9:A10"/>
    <mergeCell ref="B25:C25"/>
    <mergeCell ref="F25:I25"/>
    <mergeCell ref="L25:O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1.63"/>
    <col customWidth="1" min="3" max="3" width="10.0"/>
    <col customWidth="1" min="4" max="4" width="9.88"/>
    <col customWidth="1" min="5" max="5" width="17.63"/>
    <col customWidth="1" min="6" max="6" width="11.63"/>
  </cols>
  <sheetData>
    <row r="1">
      <c r="A1" s="40" t="s">
        <v>99</v>
      </c>
      <c r="B1" s="40" t="s">
        <v>100</v>
      </c>
      <c r="C1" s="40" t="s">
        <v>101</v>
      </c>
      <c r="D1" s="40" t="s">
        <v>102</v>
      </c>
      <c r="E1" s="42" t="s">
        <v>103</v>
      </c>
      <c r="F1" s="43" t="s">
        <v>96</v>
      </c>
    </row>
    <row r="2">
      <c r="A2" s="2" t="s">
        <v>3</v>
      </c>
      <c r="B2" s="44">
        <v>0.875</v>
      </c>
      <c r="C2" s="45">
        <v>1546.0</v>
      </c>
      <c r="D2" s="46">
        <f t="shared" ref="D2:D11" si="1">F2/$A$14</f>
        <v>7.008375</v>
      </c>
      <c r="E2" s="46">
        <f t="shared" ref="E2:E11" si="2">C2/D2</f>
        <v>220.5932188</v>
      </c>
      <c r="F2" s="47">
        <v>7008.375</v>
      </c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</row>
    <row r="3">
      <c r="A3" s="2" t="s">
        <v>4</v>
      </c>
      <c r="B3" s="44">
        <v>0.875</v>
      </c>
      <c r="C3" s="45">
        <v>1344.0</v>
      </c>
      <c r="D3" s="46">
        <f t="shared" si="1"/>
        <v>4.434125</v>
      </c>
      <c r="E3" s="46">
        <f t="shared" si="2"/>
        <v>303.1037691</v>
      </c>
      <c r="F3" s="47">
        <v>4434.125</v>
      </c>
    </row>
    <row r="4">
      <c r="A4" s="3" t="s">
        <v>5</v>
      </c>
      <c r="B4" s="44">
        <v>1.0</v>
      </c>
      <c r="C4" s="45">
        <v>1734.0</v>
      </c>
      <c r="D4" s="46">
        <f t="shared" si="1"/>
        <v>8.404125</v>
      </c>
      <c r="E4" s="46">
        <f t="shared" si="2"/>
        <v>206.32725</v>
      </c>
      <c r="F4" s="47">
        <v>8404.125</v>
      </c>
    </row>
    <row r="5">
      <c r="A5" s="3" t="s">
        <v>6</v>
      </c>
      <c r="B5" s="44">
        <v>0.875</v>
      </c>
      <c r="C5" s="45">
        <v>1993.875</v>
      </c>
      <c r="D5" s="46">
        <f t="shared" si="1"/>
        <v>6.493125</v>
      </c>
      <c r="E5" s="46">
        <f t="shared" si="2"/>
        <v>307.0747906</v>
      </c>
      <c r="F5" s="47">
        <v>6493.125</v>
      </c>
    </row>
    <row r="6">
      <c r="A6" s="4" t="s">
        <v>7</v>
      </c>
      <c r="B6" s="44">
        <v>0.75</v>
      </c>
      <c r="C6" s="45">
        <v>1146.125</v>
      </c>
      <c r="D6" s="46">
        <f t="shared" si="1"/>
        <v>1.294</v>
      </c>
      <c r="E6" s="46">
        <f t="shared" si="2"/>
        <v>885.7225657</v>
      </c>
      <c r="F6" s="47">
        <v>1294.0</v>
      </c>
    </row>
    <row r="7">
      <c r="A7" s="4" t="s">
        <v>8</v>
      </c>
      <c r="B7" s="44">
        <v>0.875</v>
      </c>
      <c r="C7" s="45">
        <v>1098.625</v>
      </c>
      <c r="D7" s="46">
        <f t="shared" si="1"/>
        <v>1.350125</v>
      </c>
      <c r="E7" s="46">
        <f t="shared" si="2"/>
        <v>813.7209518</v>
      </c>
      <c r="F7" s="47">
        <v>1350.125</v>
      </c>
    </row>
    <row r="8">
      <c r="A8" s="5" t="s">
        <v>9</v>
      </c>
      <c r="B8" s="44">
        <v>1.0</v>
      </c>
      <c r="C8" s="45">
        <v>2046.875</v>
      </c>
      <c r="D8" s="46">
        <f t="shared" si="1"/>
        <v>3.696625</v>
      </c>
      <c r="E8" s="46">
        <f t="shared" si="2"/>
        <v>553.7145369</v>
      </c>
      <c r="F8" s="47">
        <v>3696.625</v>
      </c>
    </row>
    <row r="9">
      <c r="A9" s="5" t="s">
        <v>10</v>
      </c>
      <c r="B9" s="44">
        <v>0.875</v>
      </c>
      <c r="C9" s="45">
        <v>2423.875</v>
      </c>
      <c r="D9" s="46">
        <f t="shared" si="1"/>
        <v>2.234875</v>
      </c>
      <c r="E9" s="46">
        <f t="shared" si="2"/>
        <v>1084.568488</v>
      </c>
      <c r="F9" s="47">
        <v>2234.875</v>
      </c>
    </row>
    <row r="10">
      <c r="A10" s="6" t="s">
        <v>11</v>
      </c>
      <c r="B10" s="44">
        <v>0.875</v>
      </c>
      <c r="C10" s="45">
        <v>1998.375</v>
      </c>
      <c r="D10" s="46">
        <f t="shared" si="1"/>
        <v>6.866625</v>
      </c>
      <c r="E10" s="46">
        <f t="shared" si="2"/>
        <v>291.0272514</v>
      </c>
      <c r="F10" s="47">
        <v>6866.625</v>
      </c>
    </row>
    <row r="11">
      <c r="A11" s="6" t="s">
        <v>12</v>
      </c>
      <c r="B11" s="44">
        <v>0.625</v>
      </c>
      <c r="C11" s="45">
        <v>2129.125</v>
      </c>
      <c r="D11" s="46">
        <f t="shared" si="1"/>
        <v>6.0645</v>
      </c>
      <c r="E11" s="46">
        <f t="shared" si="2"/>
        <v>351.0800561</v>
      </c>
      <c r="F11" s="47">
        <v>6064.5</v>
      </c>
    </row>
    <row r="14">
      <c r="A14" s="42">
        <v>1000.0</v>
      </c>
    </row>
  </sheetData>
  <drawing r:id="rId1"/>
</worksheet>
</file>